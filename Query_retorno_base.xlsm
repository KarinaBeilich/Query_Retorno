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invistafidc-my.sharepoint.com/personal/karina_goncalves_invista_com_br/Documents/Área de Trabalho/Modelo_Retorno/"/>
    </mc:Choice>
  </mc:AlternateContent>
  <xr:revisionPtr revIDLastSave="140" documentId="8_{8AFBE600-0F73-4F75-866B-2AA95390264E}" xr6:coauthVersionLast="47" xr6:coauthVersionMax="47" xr10:uidLastSave="{0B8114B7-6EB4-4D30-8C67-1BA68FF97DA5}"/>
  <bookViews>
    <workbookView xWindow="-120" yWindow="-120" windowWidth="29040" windowHeight="16440" activeTab="3" xr2:uid="{00C9D79B-86CF-4C7C-9FB2-BEFE8C5CDF4C}"/>
  </bookViews>
  <sheets>
    <sheet name="Mascara" sheetId="2" r:id="rId1"/>
    <sheet name="Base Fundo1" sheetId="13" r:id="rId2"/>
    <sheet name="Base Fundo2" sheetId="12" r:id="rId3"/>
    <sheet name="Teste" sheetId="14" r:id="rId4"/>
  </sheets>
  <definedNames>
    <definedName name="_xlnm._FilterDatabase" localSheetId="0" hidden="1">Mascara!$A$6:$D$52</definedName>
    <definedName name="DadosExternos_1" localSheetId="1" hidden="1">'Base Fundo1'!$A$1:$E$4</definedName>
    <definedName name="DadosExternos_1" localSheetId="2" hidden="1">'Base Fundo2'!$A$1:$E$138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F2" i="12" l="1"/>
  <c r="F3" i="12"/>
  <c r="F4" i="12"/>
  <c r="F5" i="12"/>
  <c r="G2" i="12"/>
  <c r="G3" i="12"/>
  <c r="G4" i="12"/>
  <c r="G5" i="12"/>
  <c r="C3" i="14"/>
  <c r="C4" i="14"/>
  <c r="C5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F2" i="13"/>
  <c r="F3" i="13"/>
  <c r="F4" i="13"/>
  <c r="G4" i="14" l="1"/>
  <c r="G3" i="14"/>
  <c r="G5" i="14"/>
  <c r="C270" i="14" l="1"/>
  <c r="G270" i="14" s="1"/>
  <c r="C269" i="14"/>
  <c r="G269" i="14" s="1"/>
  <c r="C268" i="14"/>
  <c r="G268" i="14" s="1"/>
  <c r="C266" i="14"/>
  <c r="G266" i="14" s="1"/>
  <c r="C265" i="14"/>
  <c r="G265" i="14" s="1"/>
  <c r="C267" i="14"/>
  <c r="G267" i="14" s="1"/>
  <c r="C256" i="14" l="1"/>
  <c r="G256" i="14" s="1"/>
  <c r="C212" i="14"/>
  <c r="G212" i="14" s="1"/>
  <c r="C196" i="14"/>
  <c r="G196" i="14" s="1"/>
  <c r="C217" i="14"/>
  <c r="G217" i="14" s="1"/>
  <c r="C208" i="14"/>
  <c r="G208" i="14" s="1"/>
  <c r="C224" i="14"/>
  <c r="G224" i="14" s="1"/>
  <c r="C259" i="14"/>
  <c r="G259" i="14" s="1"/>
  <c r="C215" i="14"/>
  <c r="G215" i="14" s="1"/>
  <c r="C163" i="14"/>
  <c r="G163" i="14" s="1"/>
  <c r="C221" i="14"/>
  <c r="G221" i="14" s="1"/>
  <c r="C180" i="14"/>
  <c r="G180" i="14" s="1"/>
  <c r="C184" i="14"/>
  <c r="G184" i="14" s="1"/>
  <c r="C214" i="14"/>
  <c r="G214" i="14" s="1"/>
  <c r="C229" i="14"/>
  <c r="G229" i="14" s="1"/>
  <c r="C204" i="14"/>
  <c r="G204" i="14" s="1"/>
  <c r="C236" i="14"/>
  <c r="G236" i="14" s="1"/>
  <c r="C162" i="14"/>
  <c r="G162" i="14" s="1"/>
  <c r="C249" i="14"/>
  <c r="G249" i="14" s="1"/>
  <c r="C197" i="14"/>
  <c r="G197" i="14" s="1"/>
  <c r="C198" i="14"/>
  <c r="G198" i="14" s="1"/>
  <c r="C225" i="14"/>
  <c r="G225" i="14" s="1"/>
  <c r="C159" i="14"/>
  <c r="G159" i="14" s="1"/>
  <c r="C182" i="14"/>
  <c r="G182" i="14" s="1"/>
  <c r="C166" i="14"/>
  <c r="G166" i="14" s="1"/>
  <c r="C216" i="14"/>
  <c r="G216" i="14" s="1"/>
  <c r="C248" i="14"/>
  <c r="G248" i="14" s="1"/>
  <c r="C252" i="14"/>
  <c r="G252" i="14" s="1"/>
  <c r="C164" i="14"/>
  <c r="G164" i="14" s="1"/>
  <c r="C261" i="14"/>
  <c r="G261" i="14" s="1"/>
  <c r="C202" i="14"/>
  <c r="G202" i="14" s="1"/>
  <c r="C222" i="14"/>
  <c r="G222" i="14" s="1"/>
  <c r="C181" i="14"/>
  <c r="G181" i="14" s="1"/>
  <c r="C203" i="14"/>
  <c r="G203" i="14" s="1"/>
  <c r="C239" i="14"/>
  <c r="G239" i="14" s="1"/>
  <c r="C233" i="14"/>
  <c r="G233" i="14" s="1"/>
  <c r="C228" i="14"/>
  <c r="G228" i="14" s="1"/>
  <c r="C242" i="14"/>
  <c r="G242" i="14" s="1"/>
  <c r="C205" i="14"/>
  <c r="G205" i="14" s="1"/>
  <c r="C245" i="14"/>
  <c r="G245" i="14" s="1"/>
  <c r="C177" i="14"/>
  <c r="G177" i="14" s="1"/>
  <c r="C174" i="14"/>
  <c r="G174" i="14" s="1"/>
  <c r="C244" i="14"/>
  <c r="G244" i="14" s="1"/>
  <c r="C188" i="14"/>
  <c r="G188" i="14" s="1"/>
  <c r="C218" i="14"/>
  <c r="G218" i="14" s="1"/>
  <c r="C195" i="14"/>
  <c r="G195" i="14" s="1"/>
  <c r="C176" i="14"/>
  <c r="G176" i="14" s="1"/>
  <c r="C192" i="14"/>
  <c r="G192" i="14" s="1"/>
  <c r="C240" i="14"/>
  <c r="G240" i="14" s="1"/>
  <c r="C167" i="14"/>
  <c r="G167" i="14" s="1"/>
  <c r="C194" i="14"/>
  <c r="G194" i="14" s="1"/>
  <c r="C251" i="14"/>
  <c r="G251" i="14" s="1"/>
  <c r="C238" i="14"/>
  <c r="G238" i="14" s="1"/>
  <c r="C193" i="14"/>
  <c r="G193" i="14" s="1"/>
  <c r="C210" i="14"/>
  <c r="G210" i="14" s="1"/>
  <c r="C169" i="14"/>
  <c r="G169" i="14" s="1"/>
  <c r="C246" i="14"/>
  <c r="G246" i="14" s="1"/>
  <c r="C178" i="14"/>
  <c r="G178" i="14" s="1"/>
  <c r="C219" i="14"/>
  <c r="G219" i="14" s="1"/>
  <c r="C243" i="14"/>
  <c r="G243" i="14" s="1"/>
  <c r="C170" i="14"/>
  <c r="G170" i="14" s="1"/>
  <c r="C260" i="14"/>
  <c r="G260" i="14" s="1"/>
  <c r="C189" i="14"/>
  <c r="G189" i="14" s="1"/>
  <c r="C206" i="14"/>
  <c r="G206" i="14" s="1"/>
  <c r="C160" i="14"/>
  <c r="G160" i="14" s="1"/>
  <c r="C234" i="14"/>
  <c r="G234" i="14" s="1"/>
  <c r="C255" i="14"/>
  <c r="G255" i="14" s="1"/>
  <c r="C190" i="14"/>
  <c r="G190" i="14" s="1"/>
  <c r="C264" i="14"/>
  <c r="G264" i="14" s="1"/>
  <c r="C173" i="14"/>
  <c r="G173" i="14" s="1"/>
  <c r="C171" i="14"/>
  <c r="G171" i="14" s="1"/>
  <c r="C220" i="14"/>
  <c r="G220" i="14" s="1"/>
  <c r="C254" i="14"/>
  <c r="G254" i="14" s="1"/>
  <c r="C183" i="14"/>
  <c r="G183" i="14" s="1"/>
  <c r="C226" i="14"/>
  <c r="G226" i="14" s="1"/>
  <c r="C227" i="14"/>
  <c r="G227" i="14" s="1"/>
  <c r="C237" i="14"/>
  <c r="G237" i="14" s="1"/>
  <c r="C201" i="14"/>
  <c r="G201" i="14" s="1"/>
  <c r="C262" i="14"/>
  <c r="G262" i="14" s="1"/>
  <c r="C258" i="14"/>
  <c r="G258" i="14" s="1"/>
  <c r="C199" i="14"/>
  <c r="G199" i="14" s="1"/>
  <c r="C165" i="14"/>
  <c r="G165" i="14" s="1"/>
  <c r="C247" i="14"/>
  <c r="G247" i="14" s="1"/>
  <c r="C168" i="14"/>
  <c r="G168" i="14" s="1"/>
  <c r="C211" i="14"/>
  <c r="G211" i="14" s="1"/>
  <c r="C191" i="14"/>
  <c r="G191" i="14" s="1"/>
  <c r="C200" i="14"/>
  <c r="G200" i="14" s="1"/>
  <c r="C231" i="14"/>
  <c r="G231" i="14" s="1"/>
  <c r="C250" i="14"/>
  <c r="G250" i="14" s="1"/>
  <c r="C257" i="14"/>
  <c r="G257" i="14" s="1"/>
  <c r="C179" i="14"/>
  <c r="G179" i="14" s="1"/>
  <c r="C232" i="14"/>
  <c r="G232" i="14" s="1"/>
  <c r="C161" i="14"/>
  <c r="G161" i="14" s="1"/>
  <c r="C175" i="14"/>
  <c r="G175" i="14" s="1"/>
  <c r="C172" i="14"/>
  <c r="G172" i="14" s="1"/>
  <c r="C186" i="14"/>
  <c r="G186" i="14" s="1"/>
  <c r="C223" i="14"/>
  <c r="G223" i="14" s="1"/>
  <c r="C187" i="14"/>
  <c r="G187" i="14" s="1"/>
  <c r="C253" i="14"/>
  <c r="G253" i="14" s="1"/>
  <c r="C235" i="14"/>
  <c r="G235" i="14" s="1"/>
  <c r="C207" i="14"/>
  <c r="G207" i="14" s="1"/>
  <c r="C185" i="14"/>
  <c r="G185" i="14" s="1"/>
  <c r="C263" i="14"/>
  <c r="G263" i="14" s="1"/>
  <c r="C209" i="14"/>
  <c r="G209" i="14" s="1"/>
  <c r="C230" i="14"/>
  <c r="G230" i="14" s="1"/>
  <c r="C213" i="14"/>
  <c r="G213" i="14" s="1"/>
  <c r="C241" i="14"/>
  <c r="G241" i="14" s="1"/>
</calcChain>
</file>

<file path=xl/sharedStrings.xml><?xml version="1.0" encoding="utf-8"?>
<sst xmlns="http://schemas.openxmlformats.org/spreadsheetml/2006/main" count="462" uniqueCount="293">
  <si>
    <t>id</t>
  </si>
  <si>
    <t>nomeArquivo</t>
  </si>
  <si>
    <t>arquivoPDF</t>
  </si>
  <si>
    <t>cccCodigo</t>
  </si>
  <si>
    <t>dataImportacao</t>
  </si>
  <si>
    <t>Nome Arquivo</t>
  </si>
  <si>
    <t>ccccodigo</t>
  </si>
  <si>
    <t>origem</t>
  </si>
  <si>
    <t>MILLAR IMPORTACAO E EXPORTACAO LTDA</t>
  </si>
  <si>
    <t>CCP INDUSTRIA E COMERCIO DE COMPOSTOS DE PVC LTDA</t>
  </si>
  <si>
    <t>ARAMEBRAS INDUSTRIA E COMERCIO LTDA</t>
  </si>
  <si>
    <t>INDUSTRIA E COMERCIO DE CALCADOS VIASCARPA LTDA</t>
  </si>
  <si>
    <t>ATRIA LUB COMERCIO DE LUBRIFICANTES S.A.</t>
  </si>
  <si>
    <t>DRESS TO CLOTHING - BOUTIQUE LTDA</t>
  </si>
  <si>
    <t>CPS CIA. DE PRODUCAO SUSTENTAVEL S.A.</t>
  </si>
  <si>
    <t>AHL DISTRIBUIDORA SA</t>
  </si>
  <si>
    <t>R. C. DE FREITAS ADMINISTRADORA DE PLANOS FUNERARIOS LTDA</t>
  </si>
  <si>
    <t>VETBR SAUDE ANIMAL LTDA.</t>
  </si>
  <si>
    <t>INNOVAPHARMA BRASIL FARMACEUTICA LTDA</t>
  </si>
  <si>
    <t>ADF - EMPRESAS REUNIDAS LTDA</t>
  </si>
  <si>
    <t>POLI-NUTRI ALIMENTOS S.A.</t>
  </si>
  <si>
    <t>SELLMED PRODUTOS MEDICOS E HOSPITALARES LTDA</t>
  </si>
  <si>
    <t>VALE GRANDE INDUSTRIA E COMERCIO DE ALIMENTOS S/A</t>
  </si>
  <si>
    <t>LEF PISOS E REVESTIMENTOS S.A.</t>
  </si>
  <si>
    <t>INDUSTRIA DE PLASTICOS DO VALE DO ITAJAI LTDA</t>
  </si>
  <si>
    <t>MAGNUM DISTRIBUIDORA DE PNEUS S/A</t>
  </si>
  <si>
    <t>ATLANTICA AGROINDUSTRIAL LTDA</t>
  </si>
  <si>
    <t>VILLE COMERCIO DE COSMETICOS LTDA</t>
  </si>
  <si>
    <t>MINUSA TRATORPECAS LTDA</t>
  </si>
  <si>
    <t>TECUMSEH DO BRASIL LTDA</t>
  </si>
  <si>
    <t>EMPRESA PAULISTA DE EMBALAGENS AGROINDUSTRIAIS LTDA</t>
  </si>
  <si>
    <t>PERFIMEC S/A - CENTRO DE SERVICOS EM ACO</t>
  </si>
  <si>
    <t>BRANDILI TEXTIL LTDA</t>
  </si>
  <si>
    <t>CONFECCOES DE ROUPAS GLOBAL CO. LTDA.</t>
  </si>
  <si>
    <t>EMBREPAR DO BRASIL LTDA</t>
  </si>
  <si>
    <t>TECLUB INDUSTRIA E COMERCIO DE LUBRIFICANTES LTDA</t>
  </si>
  <si>
    <t>INDUSTRIA QUIMICA KIMBERLIT LTDA</t>
  </si>
  <si>
    <t>NOVACKI PAPEL E EMBALAGENS S.A.</t>
  </si>
  <si>
    <t>DECANTER VINHOS FINOS LTDA</t>
  </si>
  <si>
    <t>TERMOPOT INDUSTRIA LTDA EM RECUPERACAO JUDICIAL</t>
  </si>
  <si>
    <t>DI VALENTINI INDUSTRIA DE CALCADOS LTDA</t>
  </si>
  <si>
    <t>PASSAMANARIA DO NORDESTE SA</t>
  </si>
  <si>
    <t>INDUSTRIA TEXTIL APUCARANA LTDA</t>
  </si>
  <si>
    <t>D&amp;A DECORACAO E AMBIENTACAO LTDA</t>
  </si>
  <si>
    <t>DELLA VIA PNEUS LTDA</t>
  </si>
  <si>
    <t>FILADELFIAINFO COMERCIAL LTDA</t>
  </si>
  <si>
    <t>FORT LUB PRODUTOS AUTOMOTIVOS LTDA</t>
  </si>
  <si>
    <t>CAMARGO COMPANHIA DE EMBALAGENS LTDA.</t>
  </si>
  <si>
    <t>CISS CONSULTORIA EM INFORMATICA, SERVICOS E SOFTWARE S/A</t>
  </si>
  <si>
    <t>D. CENTER DISTRIBUIDORA LTDA.</t>
  </si>
  <si>
    <t>AMBBAG INDUSTRIA E COMERCIO DE EMBALAGENS LTDA</t>
  </si>
  <si>
    <t>SANSUY S/A INDUSTRIA DE PLASTICOS</t>
  </si>
  <si>
    <t>PIPE SISTEMAS TUBULARES LTDA</t>
  </si>
  <si>
    <t>PAUL STRICKER COMERCIO DE MERCADORIAS EM GERAL S.A.</t>
  </si>
  <si>
    <t>CIRCULO LTDA.</t>
  </si>
  <si>
    <t>HBR AVIACAO S.A.</t>
  </si>
  <si>
    <t>VALE FERTIL INDUSTRIAS ALIMENTICIAS LTDA</t>
  </si>
  <si>
    <t>E.T.R. CONSTRUTORA E INCORPORADORA LTDA</t>
  </si>
  <si>
    <t>GIASSI CONSTRUTORA E INCORPORADORA LTDA</t>
  </si>
  <si>
    <t>SOLUS DO BRASIL LTDA</t>
  </si>
  <si>
    <t>CROPFIELD DO BRASIL S.A.</t>
  </si>
  <si>
    <t>ATIVO ALIMENTOS EXPORTADORA E IMPORTADORA LTDA</t>
  </si>
  <si>
    <t>TEXTIL MN COMERCIO DE TECIDOS E CONFECCOES LTDA.</t>
  </si>
  <si>
    <t>SOUSA E SOUSA URBANISMO LTDA</t>
  </si>
  <si>
    <t>F R T OPERADORA DE TURISMO LTDA</t>
  </si>
  <si>
    <t>TEXTIL RENAUXVIEW SA</t>
  </si>
  <si>
    <t>GASTREL DISTRIBUIDORA LTDA</t>
  </si>
  <si>
    <t>MAUER COMERCIO LTDA</t>
  </si>
  <si>
    <t>PG QUIMICA LTDA</t>
  </si>
  <si>
    <t>SULMEDIC COMERCIO DE MEDICAMENTOS LTDA</t>
  </si>
  <si>
    <t>EMBRAFIOS INDUSTRIA, COMERCIO E EXPORTACAO LTDA</t>
  </si>
  <si>
    <t>MEGADEF COMPONENTES ELETRONICOS LTDA .</t>
  </si>
  <si>
    <t>MGM PRODUTOS SIDERURGICOS S/A</t>
  </si>
  <si>
    <t>GWT GLOBAL IMPORTACAO EXPORTACAO LTDA.</t>
  </si>
  <si>
    <t>BMG FOODS IMPORTACAO E EXPORTACAO LTDA</t>
  </si>
  <si>
    <t>KENERSON INDUSTRIA E COMERCIO DE PRODUTOS OPTICOS LTDA</t>
  </si>
  <si>
    <t>3R NETWORK DISTRIBUIDORA LTDA</t>
  </si>
  <si>
    <t>ALUMIFONT DISTRIBUIDORA DE PERFIS EM ALUMINIO E ACESSORIOS LTDA.</t>
  </si>
  <si>
    <t>VCA BARON CONECT EMPREENDIMENTOS IMOBILIARIOS SPE LTDA</t>
  </si>
  <si>
    <t>CIMENTO TUPI S.A. EM RECUPERACAO JUDICIAL</t>
  </si>
  <si>
    <t>AZUL PACK FILMES E EMBALAGENS LTDA</t>
  </si>
  <si>
    <t>GATE 72 COMERCIAL IMPORTADORA E EXPORTADORA LTDA</t>
  </si>
  <si>
    <t>METALURGICA RAMASSOL LTDA</t>
  </si>
  <si>
    <t>LABORATORIO GLOBO SA</t>
  </si>
  <si>
    <t>MAKANI BEACH FLAT CARNEIROS SPE LTDA</t>
  </si>
  <si>
    <t>CEI COMERCIO EXPORTACAO E IMP DE MAT MEDICOS LTDA</t>
  </si>
  <si>
    <t>THERMOVAL INDUSTRIA DE VALVULAS LTDA</t>
  </si>
  <si>
    <t>C M R INDUSTRIA E COMERCIO LTDA</t>
  </si>
  <si>
    <t>ORBI QUIMICA S.A</t>
  </si>
  <si>
    <t>GF PNEUS COMERCIAL E DISTRIBUIDORA LTDA</t>
  </si>
  <si>
    <t>FRIGOESTRELA S/A</t>
  </si>
  <si>
    <t>AIRELA INDUSTRIA FARMACEUTICA LTDA</t>
  </si>
  <si>
    <t>INTERCROMA S/A</t>
  </si>
  <si>
    <t>INCORPORADORA MAGNO MENINO DEUS SPE LTDA.</t>
  </si>
  <si>
    <t>EQUILIBRIUM DISTRIBUIDORA DE MEDICAMENTOS LTDA</t>
  </si>
  <si>
    <t>FERROBRAZ INDUSTRIAL LTDA</t>
  </si>
  <si>
    <t>ELGIN INDUSTRIAL DA AMAZONIA LTDA</t>
  </si>
  <si>
    <t>FRIGORIFICO BETTER BEEF LTDA</t>
  </si>
  <si>
    <t>ICOFORT - AGROINDUSTRIAL S/A</t>
  </si>
  <si>
    <t>COBAP COMERCIO E BENEFICIAMENTO DE ARTEFATOS DE PAPEL S/A</t>
  </si>
  <si>
    <t>SOUSA E BATISTA URBANISMO LTDA</t>
  </si>
  <si>
    <t>VETRUS S/A EM RECUPERACAO JUDICIAL EM RECUPERACAO JUDICIAL</t>
  </si>
  <si>
    <t>BELLA E CO. LTDA</t>
  </si>
  <si>
    <t>HEDRONS TEXTIL LTDA</t>
  </si>
  <si>
    <t>SOLL DISTRIBUIDORA DE PETROLEO LTDA</t>
  </si>
  <si>
    <t>OMNI MOSSORO MASSAI EMPREENDIMENTOS SPE LTDA</t>
  </si>
  <si>
    <t>PRIME8 DISTRIBUIDOR DE TECNOLOGIA LTDA</t>
  </si>
  <si>
    <t>STOQUE MERCANTIL LTDA</t>
  </si>
  <si>
    <t>ZERO GRAU INDUSTRIA E COMERCIO LTDA</t>
  </si>
  <si>
    <t>BENDERTEC SOLUCOES EM ACO LTDA</t>
  </si>
  <si>
    <t>DJ INDUSTRIA E COMERCIO DE MOVEIS LTDA</t>
  </si>
  <si>
    <t>DETALLIA FITAS TEXTEIS LTDA</t>
  </si>
  <si>
    <t>GARAKIS &amp; RODOPOULOS INDUSTRIA,COMERCIO E EXPORTACAO LTDA</t>
  </si>
  <si>
    <t>LINEA BRASIL IND E COM DE MOVEIS LTDA</t>
  </si>
  <si>
    <t>PATAGONIA MEAT FOODSERVICE LTDA</t>
  </si>
  <si>
    <t>MINASLASER LTDA</t>
  </si>
  <si>
    <t>BOMBRIL EM RECUPERACAO JUDICIAL SA</t>
  </si>
  <si>
    <t>SISALANDIA FIOS NATURAIS LTDA</t>
  </si>
  <si>
    <t>PRENTISS QUIMICA LTDA</t>
  </si>
  <si>
    <t>CENTRO DE TECNOLOGIA ELEMENTS</t>
  </si>
  <si>
    <t>INDUSTRIA DE PAPEIS SUDESTE LTDA</t>
  </si>
  <si>
    <t>CIA BRINQUEDOS UNIAO LTDA</t>
  </si>
  <si>
    <t>FRESNOMAQ INDUSTRIA DE MAQUINAS S/A</t>
  </si>
  <si>
    <t>SANTA CLARA AGROCIENCIA S.A.</t>
  </si>
  <si>
    <t>METALURGICA VENANCIO LTDA EM RECUPERACAO JUDICIAL</t>
  </si>
  <si>
    <t>SANTA MARIA URBANISMO LTDA</t>
  </si>
  <si>
    <t>OBS</t>
  </si>
  <si>
    <t>MALWEE MALHAS LTDA</t>
  </si>
  <si>
    <t>ARQUIVO CORRIGIDO</t>
  </si>
  <si>
    <t xml:space="preserve">DUPLICADOS </t>
  </si>
  <si>
    <t>Duplicados</t>
  </si>
  <si>
    <t>MAIA E BORBA S/A</t>
  </si>
  <si>
    <t>Arquivo Base</t>
  </si>
  <si>
    <t>Arquivo Splunk</t>
  </si>
  <si>
    <t>Data do arquivo Splunk</t>
  </si>
  <si>
    <t>Request Assigned - C6 Bank: Cobrança | Confirmação de recebimento de arquivo retorno H2H</t>
  </si>
  <si>
    <t>05/06/2026</t>
  </si>
  <si>
    <t>RET-COBC6-0001-20767587-20260605-30-390.RET</t>
  </si>
  <si>
    <t>RET-COBC6-0001-15589846-20260605-30-57.RET</t>
  </si>
  <si>
    <t>RET-COBC6-0001-349889309-20260605-30-179.RET</t>
  </si>
  <si>
    <t>RET-COBC6-0001-318436515-20260605-40-518.RET</t>
  </si>
  <si>
    <t>RET-COBC6-0001-408691760-20260605-40-8.RET</t>
  </si>
  <si>
    <t>RET-COBC6-0001-332228150-20260605-40-390.RET</t>
  </si>
  <si>
    <t>RET-COBC6-0001-390194654-20260605-40-136.RET</t>
  </si>
  <si>
    <t>RET-COBC6-0001-228525926-20260605-20-855.RET</t>
  </si>
  <si>
    <t>RET-COBC6-0001-271641541-20260605-40-862.RET</t>
  </si>
  <si>
    <t>RET-COBC6-0001-391680625-20260605-40-101.RET</t>
  </si>
  <si>
    <t>RET-COBC6-0001-256045895-20260605-40-885.RET</t>
  </si>
  <si>
    <t>RET-COBC6-0001-267747225-20260605-30-721.RET</t>
  </si>
  <si>
    <t>RET-COBC6-0001-273779036-20260605-40-803.RET</t>
  </si>
  <si>
    <t>RET-COBC6-0001-273779036-20260605-20-804.RET</t>
  </si>
  <si>
    <t>RET-COBC6-0001-377699900-20260605-20-240.RET</t>
  </si>
  <si>
    <t>RET-COBC6-0001-141748907-20260605-30-163.RET</t>
  </si>
  <si>
    <t>RET-COBC6-0001-202670104-20260605-30-709.RET</t>
  </si>
  <si>
    <t>RET-COBC6-0001-56979479-20260605-40-114.RET</t>
  </si>
  <si>
    <t>RET-COBC6-0001-79028705-20260605-30-361.RET</t>
  </si>
  <si>
    <t>RET-COBC6-0001-136953433-20260605-30-243.RET</t>
  </si>
  <si>
    <t>RET-COBC6-0001-170417220-20260605-20-446.RET</t>
  </si>
  <si>
    <t>RET-COBC6-0001-252041062-20260605-40-958.RET</t>
  </si>
  <si>
    <t>RET-COBC6-0001-352189681-20260605-40-218.RET</t>
  </si>
  <si>
    <t>RET-COBC6-0001-278259545-20260605-30-659.RET</t>
  </si>
  <si>
    <t>RET-COBC6-0001-285419412-20260605-40-523.RET</t>
  </si>
  <si>
    <t>RET-COBC6-0001-404044697-20260605-40-79.RET</t>
  </si>
  <si>
    <t>RET-COBC6-0001-272915785-20260605-30-697.RET</t>
  </si>
  <si>
    <t>RET-COBC6-0001-318075954-20260605-40-543.RET</t>
  </si>
  <si>
    <t>RET-COBC6-0001-169138224-20260605-40-220.RET</t>
  </si>
  <si>
    <t>RET-COBC6-0001-227267273-20260605-40-191.RET</t>
  </si>
  <si>
    <t>RET-COBC6-0001-302155414-20260605-40-611.RET</t>
  </si>
  <si>
    <t>RET-COBC6-0001-262464489-20260605-40-115.RET</t>
  </si>
  <si>
    <t>RET-COBC6-0001-374412960-20260605-40-108.RET</t>
  </si>
  <si>
    <t>RET-COBC6-0001-403688116-20260605-40-126.RET</t>
  </si>
  <si>
    <t>RET-COBC6-0001-185790011-20260605-40-965.RET</t>
  </si>
  <si>
    <t>RET-COBC6-0001-231834608-20260605-30-890.RET</t>
  </si>
  <si>
    <t>RET-COBC6-0001-262339650-20260605-40-521.RET</t>
  </si>
  <si>
    <t>RET-COBC6-0001-356081478-20260605-40-330.RET</t>
  </si>
  <si>
    <t>RET-COBC6-0001-282487140-20260605-40-547.RET</t>
  </si>
  <si>
    <t>RET-COBC6-0001-252041062-20260605-30-959.RET</t>
  </si>
  <si>
    <t>RET-COBC6-0001-94286256-20260605-30-1027.RET</t>
  </si>
  <si>
    <t>RET-COBC6-0001-205748007-20260605-20-1064.RET</t>
  </si>
  <si>
    <t>RET-COBC6-0001-389941328-20260605-30-143.RET</t>
  </si>
  <si>
    <t>RET-COBC6-0001-237099675-20260605-40-1130.RET</t>
  </si>
  <si>
    <t>RET-COBC6-0001-233586199-20260605-40-433.RET</t>
  </si>
  <si>
    <t>RET-COBC6-0001-381540413-20260605-40-132.RET</t>
  </si>
  <si>
    <t>RET-COBC6-0001-350678960-20260605-30-373.RET</t>
  </si>
  <si>
    <t>RET-COBC6-0001-08811873-20260605-30-975.RET</t>
  </si>
  <si>
    <t>RET-COBC6-0001-203929373-20260605-40-332.RET</t>
  </si>
  <si>
    <t>RET-COBC6-0001-266084842-20260605-40-652.RET</t>
  </si>
  <si>
    <t>RET-COBC6-0001-288633261-20260605-30-670.RET</t>
  </si>
  <si>
    <t>RET-COBC6-0001-356861120-20260605-30-336.RET</t>
  </si>
  <si>
    <t>RET-COBC6-0001-290670225-20260605-40-576.RET</t>
  </si>
  <si>
    <t>RET-COBC6-0001-228525926-20260605-40-856.RET</t>
  </si>
  <si>
    <t>RET-COBC6-0001-402989198-20260605-40-115.RET</t>
  </si>
  <si>
    <t>RET-COBC6-0001-385461640-20260605-30-225.RET</t>
  </si>
  <si>
    <t>RET-COBC6-0001-64976475-20260605-40-936.RET</t>
  </si>
  <si>
    <t>RET-COBC6-0001-199068054-20260605-30-708.RET</t>
  </si>
  <si>
    <t>RET-COBC6-0001-233668500-20260605-40-388.RET</t>
  </si>
  <si>
    <t>RET-COBC6-0001-109208552-20260605-40-310.RET</t>
  </si>
  <si>
    <t>RET-COBC6-0001-285729284-20260605-40-414.RET</t>
  </si>
  <si>
    <t>RET-COBC6-0001-170417220-20260605-40-447.RET</t>
  </si>
  <si>
    <t>RET-COBC6-0001-202100812-20260605-30-503.RET</t>
  </si>
  <si>
    <t>RET-COBC6-0001-263772306-20260605-40-828.RET</t>
  </si>
  <si>
    <t>RET-COBC6-0001-352736046-20260605-30-467.RET</t>
  </si>
  <si>
    <t>RET-COBC6-0001-167357336-20260605-30-125.RET</t>
  </si>
  <si>
    <t>RET-COBC6-0001-203391896-20260605-30-233.RET</t>
  </si>
  <si>
    <t>RET-COBC6-0001-393387410-20260605-40-130.RET</t>
  </si>
  <si>
    <t>RET-COBC6-0001-357549651-20260605-40-44.RET</t>
  </si>
  <si>
    <t>RET-COBC6-0001-263400417-20260605-40-605.RET</t>
  </si>
  <si>
    <t>RET-COBC6-0001-292185278-20260605-30-621.RET</t>
  </si>
  <si>
    <t>RET-COBC6-0001-235143162-20260605-20-1016.RET</t>
  </si>
  <si>
    <t>RET-COBC6-0001-173067026-20260605-30-579.RET</t>
  </si>
  <si>
    <t>RET-COBC6-0001-149441010-20260605-30-1036.RET</t>
  </si>
  <si>
    <t>RET-COBC6-0001-212942603-20260605-40-503.RET</t>
  </si>
  <si>
    <t>RET-COBC6-0001-336303491-20260605-30-423.RET</t>
  </si>
  <si>
    <t>RET-COBC6-0001-391988166-20260605-30-149.RET</t>
  </si>
  <si>
    <t>RET-COBC6-0001-377038547-20260605-40-203.RET</t>
  </si>
  <si>
    <t>RET-COBC6-0001-245877282-20260605-30-589.RET</t>
  </si>
  <si>
    <t>RET-COBC6-0001-377892912-20260605-40-292.RET</t>
  </si>
  <si>
    <t>RET-COBC6-0001-207087342-20260605-40-965.RET</t>
  </si>
  <si>
    <t>RET-COBC6-0001-235143162-20260605-40-1017.RET</t>
  </si>
  <si>
    <t>RET-COBC6-0001-369657870-20260605-40-335.RET</t>
  </si>
  <si>
    <t>RET-COBC6-0001-306208601-20260605-40-565.RET</t>
  </si>
  <si>
    <t>RET-COBC6-0001-406099170-20260605-10-118.RET</t>
  </si>
  <si>
    <t>RET-COBC6-0001-406099170-20260605-30-119.RET</t>
  </si>
  <si>
    <t>RET-COBC6-0001-266522572-20260605-40-653.RET</t>
  </si>
  <si>
    <t>RET-COBC6-0001-237099675-20260605-20-1129.RET</t>
  </si>
  <si>
    <t>RET-COBC6-0001-337198560-20260605-40-373.RET</t>
  </si>
  <si>
    <t>RET-COBC6-0001-342756176-20260605-40-375.RET</t>
  </si>
  <si>
    <t>RET-COBC6-0001-340843071-20260605-30-263.RET</t>
  </si>
  <si>
    <t>RET-COBC6-0001-295965223-20260605-40-341.RET</t>
  </si>
  <si>
    <t>RET-COBC6-0001-345575750-20260605-40-406.RET</t>
  </si>
  <si>
    <t>RET-COBC6-0001-329026755-20260605-40-133.RET</t>
  </si>
  <si>
    <t>RET-COBC6-0001-357524462-20260605-30-239.RET</t>
  </si>
  <si>
    <t>RET-COBC6-0001-205705839-20260605-40-743.RET</t>
  </si>
  <si>
    <t>RET-COBC6-0001-205800211-20260605-30-149.RET</t>
  </si>
  <si>
    <t>RET-COBC6-0001-274668874-20260605-40-754.RET</t>
  </si>
  <si>
    <t>RET-COBC6-0001-277039673-20260605-30-679.RET</t>
  </si>
  <si>
    <t>RET-COBC6-0001-54752779-20260605-40-305.RET</t>
  </si>
  <si>
    <t>RET-COBC6-0001-267924097-20260605-40-446.RET</t>
  </si>
  <si>
    <t>RET-COBC6-0001-357270436-20260605-40-406.RET</t>
  </si>
  <si>
    <t>RET-COBC6-0001-377699900-20260605-40-239.RET</t>
  </si>
  <si>
    <t>RET-COBC6-0001-377954071-20260605-30-164.RET</t>
  </si>
  <si>
    <t>RET-COBC6-0001-11593849-20260605-40-1001.RET</t>
  </si>
  <si>
    <t>RET-COBC6-0001-55456707-20260605-40-297.RET</t>
  </si>
  <si>
    <t>RET-COBC6-0001-274459876-20260605-30-745.RET</t>
  </si>
  <si>
    <t>RET-COBC6-0001-224047094-20260605-40-781.RET</t>
  </si>
  <si>
    <t>RET-COBC6-0001-337593698-20260605-40-401.RET</t>
  </si>
  <si>
    <t>RET-COBC6-0001-281615128-20260605-40-469.RET</t>
  </si>
  <si>
    <t>RET-COBC6-0001-195230515-20260605-40-217.RET</t>
  </si>
  <si>
    <t>RET-COBC6-0001-205748007-20260605-40-1065.RET</t>
  </si>
  <si>
    <t>RET-COBC6-0001-384621600-20260605-40-236.RET</t>
  </si>
  <si>
    <t>RET-COBC6-0001-221802886-20260605-40-1014.RET</t>
  </si>
  <si>
    <t>RET-COBC6-0001-396088856-20260605-40-175.RET</t>
  </si>
  <si>
    <t>RET-COBC6-0001-325732868-20260605-40-202.RET</t>
  </si>
  <si>
    <t>RET-COBC6-0001-271641541-20260605-20-863.RET</t>
  </si>
  <si>
    <t>RET-COBC6-0001-356364968-20260605-30-370.RET</t>
  </si>
  <si>
    <t>RET-COBC6-0001-275636801-20260605-40-338.RET</t>
  </si>
  <si>
    <t>RET-COBC6-0001-398964092-20260605-30-154.RET</t>
  </si>
  <si>
    <t>RET-COBC6-0001-277876206-20260605-30-85.RET</t>
  </si>
  <si>
    <t>RET-COBC6-0001-251245276-20260605-40-701.RET</t>
  </si>
  <si>
    <t>RET-COBC6-0001-248237748-20260605-40-849.RET</t>
  </si>
  <si>
    <t>RET-COBC6-0001-406869073-20260605-30-95.RET</t>
  </si>
  <si>
    <t>RET-COBC6-0001-393171434-20260605-40-188.RET</t>
  </si>
  <si>
    <t>RET-COBC6-0001-385767269-20260605-30-184.RET</t>
  </si>
  <si>
    <t>RET-COBC6-0001-342478079-20260605-40-373.RET</t>
  </si>
  <si>
    <t>RET-COBC6-0001-386170665-20260605-30-87.RET</t>
  </si>
  <si>
    <t>RET-COBC6-0001-370185250-20260605-40-150.RET</t>
  </si>
  <si>
    <t>RET-COBC6-0001-198143117-20260605-40-1048.RET</t>
  </si>
  <si>
    <t>RET-COBC6-0001-345809459-20260605-40-420.RET</t>
  </si>
  <si>
    <t>RET-COBC6-0001-421026189-20260605-40-7.RET</t>
  </si>
  <si>
    <t>COMPARATIVO</t>
  </si>
  <si>
    <t>BATE</t>
  </si>
  <si>
    <t>09/06/2026</t>
  </si>
  <si>
    <t>\\10.14.0.51\automacao\BANCOS\C6\relatorios\09062026-1123622_RET-COBC6-0001-08811873-20260608-30-976_010302.RET.pdf</t>
  </si>
  <si>
    <t>\\10.14.0.51\automacao\BANCOS\C6\relatorios\09062026-1123626_RET-COBC6-0001-11593849-20260608-20-1003_010345.RET.pdf</t>
  </si>
  <si>
    <t>\\10.14.0.51\automacao\BANCOS\C6\relatorios\09062026-1123627_RET-COBC6-0001-11593849-20260608-40-1002_010304.RET.pdf</t>
  </si>
  <si>
    <t>CEDENTE</t>
  </si>
  <si>
    <t>Fundo2</t>
  </si>
  <si>
    <t>,</t>
  </si>
  <si>
    <t>Empresa fictícia 01</t>
  </si>
  <si>
    <t>Empresa fictícia 02</t>
  </si>
  <si>
    <t>Empresa fictícia 03</t>
  </si>
  <si>
    <t>\\11.11.11.11\share\Automacao\Fundo1\Bancos\Banco\retorno\relatorio\09062026-1111111_111-01-0001-0000000-CB00000000.RET.pdf</t>
  </si>
  <si>
    <t>1111111_000_01_0000-1111111-CB00000001.RET</t>
  </si>
  <si>
    <t>1111111_000_01_0000-1111110-CB00000001.RET</t>
  </si>
  <si>
    <t>Fundo1</t>
  </si>
  <si>
    <t>RET-Teste01-0001-03030303-20260608-01-1000_000000</t>
  </si>
  <si>
    <t>RET-Teste01-0001-02020202-20260608-00-1001_000000</t>
  </si>
  <si>
    <t>RET-Teste01-0001-01010101-20260608-00-111_000001</t>
  </si>
  <si>
    <t>RET-Teste01-0001-01010101-20260608-00-111_000000</t>
  </si>
  <si>
    <t>1123626_RET-Teste01-0001-02020202-20260608-00-1001_000000.RET</t>
  </si>
  <si>
    <t>1123627_RET-Teste01-0001-03030303-20260608-01-1000_000000.RET</t>
  </si>
  <si>
    <t>1123622_RET-Teste01-0001-01010101-20260608-00-111_000001.RET</t>
  </si>
  <si>
    <t xml:space="preserve">Assunto do Email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</si>
</sst>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0" borderId="0" xfId="0" applyAlignment="1">
      <alignment horizontal="center"/>
    </xf>
    <xf numFmtId="14" fontId="1" fillId="2" borderId="0" xfId="0" applyNumberFormat="1" applyFont="1" applyFill="1"/>
    <xf numFmtId="14" fontId="0" fillId="0" borderId="0" xfId="0" applyNumberFormat="1" applyAlignment="1">
      <alignment horizontal="left"/>
    </xf>
    <xf numFmtId="0" fontId="4" fillId="3" borderId="0" xfId="1"/>
    <xf numFmtId="14" fontId="0" fillId="0" borderId="0" xfId="0" applyNumberFormat="1" applyAlignment="1">
      <alignment horizontal="right"/>
    </xf>
  </cellXfs>
  <cellStyles count="2">
    <cellStyle name="Ênfase1" xfId="1" builtinId="29"/>
    <cellStyle name="Normal" xfId="0" builtinId="0"/>
  </cellStyles>
  <dxfs count="2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152399</xdr:rowOff>
    </xdr:from>
    <xdr:to>
      <xdr:col>0</xdr:col>
      <xdr:colOff>1657350</xdr:colOff>
      <xdr:row>2</xdr:row>
      <xdr:rowOff>123824</xdr:rowOff>
    </xdr:to>
    <xdr:sp macro="[0]!Planilha1.gerarEmai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68C0FF2-EB10-437E-84BF-33CDE5420BB6}"/>
            </a:ext>
          </a:extLst>
        </xdr:cNvPr>
        <xdr:cNvSpPr/>
      </xdr:nvSpPr>
      <xdr:spPr>
        <a:xfrm>
          <a:off x="304800" y="152399"/>
          <a:ext cx="1352550" cy="352425"/>
        </a:xfrm>
        <a:prstGeom prst="roundRect">
          <a:avLst>
            <a:gd name="adj" fmla="val 50000"/>
          </a:avLst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EMAIL</a:t>
          </a:r>
        </a:p>
      </xdr:txBody>
    </xdr:sp>
    <xdr:clientData/>
  </xdr:twoCellAnchor>
  <xdr:twoCellAnchor>
    <xdr:from>
      <xdr:col>0</xdr:col>
      <xdr:colOff>1933575</xdr:colOff>
      <xdr:row>0</xdr:row>
      <xdr:rowOff>161925</xdr:rowOff>
    </xdr:from>
    <xdr:to>
      <xdr:col>0</xdr:col>
      <xdr:colOff>3600450</xdr:colOff>
      <xdr:row>2</xdr:row>
      <xdr:rowOff>161925</xdr:rowOff>
    </xdr:to>
    <xdr:sp macro="[0]!Planilha1.CarregarDuplicad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446790C-E07A-D9D5-CF70-058FE0E46B8B}"/>
            </a:ext>
          </a:extLst>
        </xdr:cNvPr>
        <xdr:cNvSpPr/>
      </xdr:nvSpPr>
      <xdr:spPr>
        <a:xfrm>
          <a:off x="1933575" y="161925"/>
          <a:ext cx="1666875" cy="381000"/>
        </a:xfrm>
        <a:prstGeom prst="roundRect">
          <a:avLst>
            <a:gd name="adj" fmla="val 45238"/>
          </a:avLst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PUXAR DUPLICADOS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0</xdr:row>
          <xdr:rowOff>123825</xdr:rowOff>
        </xdr:from>
        <xdr:to>
          <xdr:col>1</xdr:col>
          <xdr:colOff>2295525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 EMAILS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0</xdr:row>
          <xdr:rowOff>152400</xdr:rowOff>
        </xdr:from>
        <xdr:to>
          <xdr:col>0</xdr:col>
          <xdr:colOff>2524125</xdr:colOff>
          <xdr:row>0</xdr:row>
          <xdr:rowOff>495300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1BF5B00-CD18-4E86-8AE7-93323662CDCD}" name="BASE_INV" displayName="BASE_INV" ref="A1:F4" totalsRowShown="0">
  <autoFilter ref="A1:F4" xr:uid="{21BF5B00-CD18-4E86-8AE7-93323662CDCD}"/>
  <tableColumns count="6">
    <tableColumn id="1" xr3:uid="{7A05564A-0ED0-451B-A11A-CE0B2825D7F9}" name="id"/>
    <tableColumn id="2" xr3:uid="{300F1632-E60E-4FAB-B159-B927DBCA6256}" name="nomeArquivo" dataDxfId="9"/>
    <tableColumn id="3" xr3:uid="{D21CF59F-0994-4F48-A54D-B526B9FE0582}" name="arquivoPDF" dataDxfId="8"/>
    <tableColumn id="4" xr3:uid="{090F82A0-7903-4636-9471-91C3AE6C64E5}" name="cccCodigo"/>
    <tableColumn id="5" xr3:uid="{7838D505-1D66-485E-AFB1-E24014BDF194}" name="dataImportacao" dataDxfId="7"/>
    <tableColumn id="6" xr3:uid="{97DA9D4E-A049-4B63-9843-9164118C01DF}" name="Duplicados" dataDxfId="6">
      <calculatedColumnFormula>IF(COUNTIF(B:B,B2)&gt;1,"DUPLICADO","")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0E200EA-295A-475F-9F92-78FDA6F0A134}" name="BASE_C6" displayName="BASE_C6" ref="A1:G5" totalsRowShown="0">
  <autoFilter ref="A1:G5" xr:uid="{80E200EA-295A-475F-9F92-78FDA6F0A134}"/>
  <tableColumns count="7">
    <tableColumn id="1" xr3:uid="{706ED5A8-2903-49F4-ADF1-29751F7A9473}" name="id"/>
    <tableColumn id="2" xr3:uid="{90321B6F-A677-4985-AB0E-B64A09B9E5FC}" name="nomeArquivo" dataDxfId="4"/>
    <tableColumn id="3" xr3:uid="{6B3149F1-7435-484C-BDD1-61EE4B98E877}" name="arquivoPDF" dataDxfId="3"/>
    <tableColumn id="4" xr3:uid="{DBF0BCDC-C216-4543-8C4A-34A129FF2E45}" name="cccCodigo"/>
    <tableColumn id="5" xr3:uid="{F9106243-719B-4AC5-859D-FC8355A3E57D}" name="dataImportacao" dataDxfId="2"/>
    <tableColumn id="6" xr3:uid="{670D667D-5701-4C56-A342-815D3C3B242E}" name="DUPLICADOS " dataDxfId="1">
      <calculatedColumnFormula>IF(COUNTIF(B:B,B2)&gt;1,"DUPLICADO","")</calculatedColumnFormula>
    </tableColumn>
    <tableColumn id="9" xr3:uid="{744564CB-66B8-419F-A1B5-6642F96BDD6A}" name="ARQUIVO CORRIGIDO" dataDxfId="0">
      <calculatedColumnFormula>IFERROR(LEFT(MID(B2,SEARCH("RET-",B2),SEARCH(".RET",UPPER(B2))-SEARCH("RET-",B2)),IFERROR(SEARCH("_",MID(B2,SEARCH("RET-",B2),SEARCH(".RET",UPPER(B2))-SEARCH("RET-",B2)))-1,999)),BASE_C6[[#This Row],[nomeArquivo]])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D942D1-2F67-49E2-A7EE-E42CB3BF1EF4}" name="Tabela1" displayName="Tabela1" ref="A2:G528" totalsRowShown="0" headerRowCellStyle="Ênfase1">
  <autoFilter ref="A2:G528" xr:uid="{E9D942D1-2F67-49E2-A7EE-E42CB3BF1EF4}">
    <filterColumn colId="5">
      <filters blank="1">
        <dateGroupItem year="2026" month="6" day="8" dateTimeGrouping="day"/>
      </filters>
    </filterColumn>
  </autoFilter>
  <sortState xmlns:xlrd2="http://schemas.microsoft.com/office/spreadsheetml/2017/richdata2" ref="A3:F292">
    <sortCondition ref="A2:A528"/>
  </sortState>
  <tableColumns count="7">
    <tableColumn id="1" xr3:uid="{7EAAD67D-B842-435C-B923-498AC1A0D961}" name="Arquivo Base"/>
    <tableColumn id="2" xr3:uid="{745C957B-CA2E-4369-BD67-08FF1694003C}" name="Arquivo Splunk"/>
    <tableColumn id="13" xr3:uid="{34DA47C2-B4A9-44D8-9706-5D2EC0497BC3}" name="COMPARATIVO" dataDxfId="16">
      <calculatedColumnFormula>IFERROR(_xlfn.XLOOKUP(SUBSTITUTE(B3,".RET",""),$A:$A,$A:$A),"")</calculatedColumnFormula>
    </tableColumn>
    <tableColumn id="4" xr3:uid="{9857A884-15FC-4229-A595-6C92238F6478}" name="CEDENTE"/>
    <tableColumn id="15" xr3:uid="{E6C89007-F5DF-44D5-952E-07C80269F2A0}" name="OBS" dataDxfId="15"/>
    <tableColumn id="3" xr3:uid="{1BCA33F8-8F77-461D-8F73-6181C96D61ED}" name="Data do arquivo Splunk" dataDxfId="14"/>
    <tableColumn id="7" xr3:uid="{1FF1426B-BE3A-44FE-93EA-92A7851CFA0A}" name="BATE" dataDxfId="13">
      <calculatedColumnFormula>IF(COUNTIF(C3, "*" &amp; SUBSTITUTE(B3, ".RET", "") &amp; "*"), "OK", "NÃO LOCALIZADO")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E037B-E921-4F60-90D7-FA678F9DF4AF}">
  <sheetPr codeName="Planilha1"/>
  <dimension ref="A3:H52"/>
  <sheetViews>
    <sheetView showGridLines="0" workbookViewId="0">
      <selection activeCell="A27" sqref="A27"/>
    </sheetView>
  </sheetViews>
  <sheetFormatPr defaultColWidth="0" defaultRowHeight="15" x14ac:dyDescent="0.25"/>
  <cols>
    <col min="1" max="1" width="59.42578125" bestFit="1" customWidth="1"/>
    <col min="2" max="2" width="10.42578125" bestFit="1" customWidth="1"/>
    <col min="3" max="3" width="17.42578125" style="1" bestFit="1" customWidth="1"/>
    <col min="4" max="4" width="9.5703125" bestFit="1" customWidth="1"/>
    <col min="5" max="5" width="10.42578125" bestFit="1" customWidth="1"/>
    <col min="6" max="6" width="4.42578125" customWidth="1"/>
    <col min="7" max="8" width="19.5703125" customWidth="1"/>
    <col min="9" max="16384" width="9.140625" hidden="1"/>
  </cols>
  <sheetData>
    <row r="3" spans="1:8" ht="15" customHeight="1" x14ac:dyDescent="0.25"/>
    <row r="5" spans="1:8" ht="15" customHeight="1" x14ac:dyDescent="0.25"/>
    <row r="6" spans="1:8" x14ac:dyDescent="0.25">
      <c r="A6" s="2" t="s">
        <v>5</v>
      </c>
      <c r="B6" s="2" t="s">
        <v>6</v>
      </c>
      <c r="C6" s="4" t="s">
        <v>4</v>
      </c>
      <c r="D6" s="2" t="s">
        <v>7</v>
      </c>
    </row>
    <row r="7" spans="1:8" ht="15" customHeight="1" x14ac:dyDescent="0.25">
      <c r="A7" t="s">
        <v>289</v>
      </c>
      <c r="B7">
        <v>111</v>
      </c>
      <c r="C7" s="7">
        <v>46182</v>
      </c>
      <c r="D7" t="s">
        <v>276</v>
      </c>
      <c r="G7" s="3"/>
      <c r="H7" s="3"/>
    </row>
    <row r="8" spans="1:8" ht="15" customHeight="1" x14ac:dyDescent="0.25">
      <c r="A8" t="s">
        <v>289</v>
      </c>
      <c r="B8">
        <v>111</v>
      </c>
      <c r="C8" s="7">
        <v>46182</v>
      </c>
      <c r="D8" t="s">
        <v>276</v>
      </c>
      <c r="G8" s="3"/>
      <c r="H8" s="3"/>
    </row>
    <row r="9" spans="1:8" ht="15" customHeight="1" x14ac:dyDescent="0.25">
      <c r="A9" t="s">
        <v>282</v>
      </c>
      <c r="B9">
        <v>222</v>
      </c>
      <c r="C9" s="7" t="s">
        <v>136</v>
      </c>
      <c r="D9" t="s">
        <v>284</v>
      </c>
    </row>
    <row r="10" spans="1:8" ht="15" customHeight="1" x14ac:dyDescent="0.25">
      <c r="A10" t="s">
        <v>282</v>
      </c>
      <c r="B10">
        <v>222</v>
      </c>
      <c r="C10" s="7" t="s">
        <v>136</v>
      </c>
      <c r="D10" t="s">
        <v>276</v>
      </c>
      <c r="E10" s="1"/>
      <c r="G10" s="3"/>
      <c r="H10" s="3"/>
    </row>
    <row r="11" spans="1:8" ht="15" customHeight="1" x14ac:dyDescent="0.25">
      <c r="E11" s="1"/>
    </row>
    <row r="12" spans="1:8" ht="15" customHeight="1" x14ac:dyDescent="0.25">
      <c r="G12" s="3"/>
      <c r="H12" s="3"/>
    </row>
    <row r="13" spans="1:8" ht="15" customHeight="1" x14ac:dyDescent="0.25"/>
    <row r="14" spans="1:8" ht="15" customHeight="1" x14ac:dyDescent="0.25">
      <c r="G14" s="3"/>
      <c r="H14" s="3"/>
    </row>
    <row r="15" spans="1:8" ht="15" customHeight="1" x14ac:dyDescent="0.25"/>
    <row r="16" spans="1:8" ht="15" customHeight="1" x14ac:dyDescent="0.25">
      <c r="G16" s="3"/>
      <c r="H16" s="3"/>
    </row>
    <row r="17" spans="3:8" ht="15" customHeight="1" x14ac:dyDescent="0.25"/>
    <row r="18" spans="3:8" ht="15" customHeight="1" x14ac:dyDescent="0.25">
      <c r="G18" s="3"/>
      <c r="H18" s="3"/>
    </row>
    <row r="19" spans="3:8" ht="15" customHeight="1" x14ac:dyDescent="0.25"/>
    <row r="20" spans="3:8" ht="15" customHeight="1" x14ac:dyDescent="0.25">
      <c r="G20" s="3"/>
      <c r="H20" s="3"/>
    </row>
    <row r="24" spans="3:8" ht="15" customHeight="1" x14ac:dyDescent="0.25"/>
    <row r="31" spans="3:8" x14ac:dyDescent="0.25">
      <c r="C31" s="5"/>
    </row>
    <row r="32" spans="3:8" x14ac:dyDescent="0.25">
      <c r="C32" s="5"/>
    </row>
    <row r="33" spans="3:3" x14ac:dyDescent="0.25">
      <c r="C33" s="5"/>
    </row>
    <row r="34" spans="3:3" x14ac:dyDescent="0.25">
      <c r="C34" s="5"/>
    </row>
    <row r="35" spans="3:3" x14ac:dyDescent="0.25">
      <c r="C35" s="5"/>
    </row>
    <row r="36" spans="3:3" x14ac:dyDescent="0.25">
      <c r="C36" s="5"/>
    </row>
    <row r="37" spans="3:3" x14ac:dyDescent="0.25">
      <c r="C37" s="5"/>
    </row>
    <row r="38" spans="3:3" x14ac:dyDescent="0.25">
      <c r="C38" s="5"/>
    </row>
    <row r="39" spans="3:3" x14ac:dyDescent="0.25">
      <c r="C39" s="5"/>
    </row>
    <row r="40" spans="3:3" x14ac:dyDescent="0.25">
      <c r="C40" s="5"/>
    </row>
    <row r="41" spans="3:3" x14ac:dyDescent="0.25">
      <c r="C41" s="5"/>
    </row>
    <row r="42" spans="3:3" x14ac:dyDescent="0.25">
      <c r="C42" s="5"/>
    </row>
    <row r="43" spans="3:3" x14ac:dyDescent="0.25">
      <c r="C43" s="5"/>
    </row>
    <row r="44" spans="3:3" x14ac:dyDescent="0.25">
      <c r="C44" s="5"/>
    </row>
    <row r="45" spans="3:3" x14ac:dyDescent="0.25">
      <c r="C45" s="5"/>
    </row>
    <row r="46" spans="3:3" x14ac:dyDescent="0.25">
      <c r="C46" s="5"/>
    </row>
    <row r="47" spans="3:3" x14ac:dyDescent="0.25">
      <c r="C47" s="5"/>
    </row>
    <row r="48" spans="3:3" x14ac:dyDescent="0.25">
      <c r="C48" s="5"/>
    </row>
    <row r="49" spans="3:3" x14ac:dyDescent="0.25">
      <c r="C49" s="5"/>
    </row>
    <row r="50" spans="3:3" x14ac:dyDescent="0.25">
      <c r="C50" s="5"/>
    </row>
    <row r="51" spans="3:3" x14ac:dyDescent="0.25">
      <c r="C51" s="5"/>
    </row>
    <row r="52" spans="3:3" x14ac:dyDescent="0.25">
      <c r="C52" s="5"/>
    </row>
  </sheetData>
  <autoFilter ref="A6:D52" xr:uid="{3BBE037B-E921-4F60-90D7-FA678F9DF4AF}"/>
  <phoneticPr fontId="2" type="noConversion"/>
  <conditionalFormatting sqref="A35">
    <cfRule type="expression" dxfId="12" priority="8">
      <formula>AND(ISTEXT(#REF!),COUNTIF($A$8:$A35,#REF!)&gt;1)</formula>
    </cfRule>
  </conditionalFormatting>
  <conditionalFormatting sqref="A6">
    <cfRule type="expression" dxfId="11" priority="10">
      <formula>AND(ISTEXT($A8),COUNTIF($A$8:$A8,$A8)&gt;1)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5984A-B6C9-4676-B6FC-7A8E6BE1F8D8}">
  <sheetPr codeName="Planilha2"/>
  <dimension ref="A1:G4"/>
  <sheetViews>
    <sheetView showGridLines="0" topLeftCell="A4" workbookViewId="0">
      <selection activeCell="F4" sqref="F4"/>
    </sheetView>
  </sheetViews>
  <sheetFormatPr defaultColWidth="0" defaultRowHeight="15" x14ac:dyDescent="0.25"/>
  <cols>
    <col min="1" max="1" width="5" bestFit="1" customWidth="1"/>
    <col min="2" max="2" width="42.28515625" bestFit="1" customWidth="1"/>
    <col min="3" max="3" width="81.140625" hidden="1" customWidth="1"/>
    <col min="4" max="4" width="12" bestFit="1" customWidth="1"/>
    <col min="5" max="5" width="16.7109375" bestFit="1" customWidth="1"/>
    <col min="6" max="6" width="12.7109375" bestFit="1" customWidth="1"/>
    <col min="7" max="7" width="9.140625" customWidth="1"/>
    <col min="8" max="16384" width="9.140625" hidden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130</v>
      </c>
    </row>
    <row r="2" spans="1:6" x14ac:dyDescent="0.25">
      <c r="A2">
        <v>1111</v>
      </c>
      <c r="B2" t="s">
        <v>282</v>
      </c>
      <c r="C2" t="s">
        <v>281</v>
      </c>
      <c r="D2">
        <v>222</v>
      </c>
      <c r="E2" t="s">
        <v>136</v>
      </c>
      <c r="F2" t="str">
        <f t="shared" ref="F2:F4" si="0">IF(COUNTIF(B:B,B2)&gt;1,"DUPLICADO","")</f>
        <v>DUPLICADO</v>
      </c>
    </row>
    <row r="3" spans="1:6" x14ac:dyDescent="0.25">
      <c r="A3">
        <v>1111</v>
      </c>
      <c r="B3" t="s">
        <v>282</v>
      </c>
      <c r="D3">
        <v>222</v>
      </c>
      <c r="E3" t="s">
        <v>136</v>
      </c>
      <c r="F3" t="str">
        <f t="shared" si="0"/>
        <v>DUPLICADO</v>
      </c>
    </row>
    <row r="4" spans="1:6" x14ac:dyDescent="0.25">
      <c r="A4">
        <v>1111</v>
      </c>
      <c r="B4" t="s">
        <v>283</v>
      </c>
      <c r="E4" t="s">
        <v>136</v>
      </c>
      <c r="F4" t="str">
        <f t="shared" si="0"/>
        <v/>
      </c>
    </row>
  </sheetData>
  <conditionalFormatting sqref="F1:F1048576">
    <cfRule type="containsText" dxfId="10" priority="1" operator="containsText" text="DUPLICADO">
      <formula>NOT(ISERROR(SEARCH("DUPLICADO",F1)))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AA032-1159-4C71-A891-987A0C3E4156}">
  <sheetPr codeName="Planilha3"/>
  <dimension ref="A1:G5"/>
  <sheetViews>
    <sheetView showGridLines="0" topLeftCell="B5" workbookViewId="0">
      <selection activeCell="G5" sqref="G5"/>
    </sheetView>
  </sheetViews>
  <sheetFormatPr defaultColWidth="0" defaultRowHeight="15" x14ac:dyDescent="0.25"/>
  <cols>
    <col min="1" max="1" width="7" hidden="1" customWidth="1"/>
    <col min="2" max="2" width="60.28515625" bestFit="1" customWidth="1"/>
    <col min="3" max="3" width="81.140625" hidden="1" customWidth="1"/>
    <col min="4" max="4" width="12" bestFit="1" customWidth="1"/>
    <col min="5" max="5" width="16.7109375" bestFit="1" customWidth="1"/>
    <col min="6" max="6" width="14.5703125" bestFit="1" customWidth="1"/>
    <col min="7" max="7" width="41.7109375" bestFit="1" customWidth="1"/>
    <col min="8" max="16384" width="9.140625" hidden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129</v>
      </c>
      <c r="G1" t="s">
        <v>128</v>
      </c>
    </row>
    <row r="2" spans="1:7" x14ac:dyDescent="0.25">
      <c r="A2">
        <v>111111</v>
      </c>
      <c r="B2" t="s">
        <v>291</v>
      </c>
      <c r="C2" t="s">
        <v>272</v>
      </c>
      <c r="D2">
        <v>11111</v>
      </c>
      <c r="E2" t="s">
        <v>271</v>
      </c>
      <c r="F2" t="str">
        <f t="shared" ref="F2:F5" si="0">IF(COUNTIF(B:B,B2)&gt;1,"DUPLICADO","")</f>
        <v/>
      </c>
      <c r="G2" t="str">
        <f>IFERROR(LEFT(MID(B2,SEARCH("RET-",B2),SEARCH(".RET",UPPER(B2))-SEARCH("RET-",B2)),IFERROR(SEARCH("_",MID(B2,SEARCH("RET-",B2),SEARCH(".RET",UPPER(B2))-SEARCH("RET-",B2)))-1,999)),BASE_C6[[#This Row],[nomeArquivo]])</f>
        <v>RET-Teste01-0001-01010101-20260608-00-111</v>
      </c>
    </row>
    <row r="3" spans="1:7" x14ac:dyDescent="0.25">
      <c r="A3">
        <v>111111</v>
      </c>
      <c r="B3" t="s">
        <v>289</v>
      </c>
      <c r="C3" t="s">
        <v>273</v>
      </c>
      <c r="D3">
        <v>222</v>
      </c>
      <c r="E3" t="s">
        <v>271</v>
      </c>
      <c r="F3" t="str">
        <f t="shared" si="0"/>
        <v>DUPLICADO</v>
      </c>
      <c r="G3" t="str">
        <f>IFERROR(LEFT(MID(B3,SEARCH("RET-",B3),SEARCH(".RET",UPPER(B3))-SEARCH("RET-",B3)),IFERROR(SEARCH("_",MID(B3,SEARCH("RET-",B3),SEARCH(".RET",UPPER(B3))-SEARCH("RET-",B3)))-1,999)),BASE_C6[[#This Row],[nomeArquivo]])</f>
        <v>RET-Teste01-0001-02020202-20260608-00-1001</v>
      </c>
    </row>
    <row r="4" spans="1:7" x14ac:dyDescent="0.25">
      <c r="A4">
        <v>111111</v>
      </c>
      <c r="B4" t="s">
        <v>289</v>
      </c>
      <c r="C4" t="s">
        <v>273</v>
      </c>
      <c r="D4">
        <v>222</v>
      </c>
      <c r="E4" t="s">
        <v>271</v>
      </c>
      <c r="F4" t="str">
        <f t="shared" si="0"/>
        <v>DUPLICADO</v>
      </c>
      <c r="G4" t="str">
        <f>IFERROR(LEFT(MID(B4,SEARCH("RET-",B4),SEARCH(".RET",UPPER(B4))-SEARCH("RET-",B4)),IFERROR(SEARCH("_",MID(B4,SEARCH("RET-",B4),SEARCH(".RET",UPPER(B4))-SEARCH("RET-",B4)))-1,999)),BASE_C6[[#This Row],[nomeArquivo]])</f>
        <v>RET-Teste01-0001-02020202-20260608-00-1001</v>
      </c>
    </row>
    <row r="5" spans="1:7" x14ac:dyDescent="0.25">
      <c r="A5">
        <v>111111</v>
      </c>
      <c r="B5" t="s">
        <v>290</v>
      </c>
      <c r="C5" t="s">
        <v>274</v>
      </c>
      <c r="D5">
        <v>33333</v>
      </c>
      <c r="E5" t="s">
        <v>271</v>
      </c>
      <c r="F5" t="str">
        <f t="shared" si="0"/>
        <v/>
      </c>
      <c r="G5" t="str">
        <f>IFERROR(LEFT(MID(B5,SEARCH("RET-",B5),SEARCH(".RET",UPPER(B5))-SEARCH("RET-",B5)),IFERROR(SEARCH("_",MID(B5,SEARCH("RET-",B5),SEARCH(".RET",UPPER(B5))-SEARCH("RET-",B5)))-1,999)),BASE_C6[[#This Row],[nomeArquivo]])</f>
        <v>RET-Teste01-0001-03030303-20260608-01-1000</v>
      </c>
    </row>
  </sheetData>
  <conditionalFormatting sqref="F1:G5">
    <cfRule type="containsText" dxfId="5" priority="1" operator="containsText" text="DUPLICADO">
      <formula>NOT(ISERROR(SEARCH("DUPLICADO",F1)))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E633-0C0C-4813-BDBD-1CD51C359F03}">
  <sheetPr codeName="Planilha5"/>
  <dimension ref="A1:Q290"/>
  <sheetViews>
    <sheetView showGridLines="0" tabSelected="1" zoomScale="85" zoomScaleNormal="85" workbookViewId="0">
      <selection activeCell="D10" sqref="D10"/>
    </sheetView>
  </sheetViews>
  <sheetFormatPr defaultColWidth="0" defaultRowHeight="15" outlineLevelCol="1" x14ac:dyDescent="0.25"/>
  <cols>
    <col min="1" max="1" width="43.7109375" customWidth="1"/>
    <col min="2" max="2" width="47.28515625" bestFit="1" customWidth="1"/>
    <col min="3" max="3" width="49.5703125" customWidth="1"/>
    <col min="4" max="4" width="60.5703125" customWidth="1"/>
    <col min="5" max="5" width="81.5703125" hidden="1" customWidth="1" outlineLevel="1"/>
    <col min="6" max="6" width="23" bestFit="1" customWidth="1" collapsed="1"/>
    <col min="7" max="7" width="16.42578125" bestFit="1" customWidth="1"/>
    <col min="8" max="17" width="0" hidden="1" customWidth="1"/>
    <col min="18" max="16384" width="12.85546875" hidden="1"/>
  </cols>
  <sheetData>
    <row r="1" spans="1:7" ht="46.5" customHeight="1" x14ac:dyDescent="0.25"/>
    <row r="2" spans="1:7" s="6" customFormat="1" x14ac:dyDescent="0.25">
      <c r="A2" s="6" t="s">
        <v>132</v>
      </c>
      <c r="B2" s="6" t="s">
        <v>133</v>
      </c>
      <c r="C2" s="6" t="s">
        <v>269</v>
      </c>
      <c r="D2" s="6" t="s">
        <v>275</v>
      </c>
      <c r="E2" s="6" t="s">
        <v>126</v>
      </c>
      <c r="F2" s="6" t="s">
        <v>134</v>
      </c>
      <c r="G2" s="6" t="s">
        <v>270</v>
      </c>
    </row>
    <row r="3" spans="1:7" x14ac:dyDescent="0.25">
      <c r="A3" t="s">
        <v>288</v>
      </c>
      <c r="B3" t="s">
        <v>285</v>
      </c>
      <c r="C3" t="str">
        <f t="shared" ref="C3:C5" si="0">IFERROR(_xlfn.XLOOKUP("*" &amp; SUBSTITUTE(B3,".RET","") &amp; "*", $A:$A, $A:$A, "", 2), "")</f>
        <v>RET-Teste01-0001-03030303-20260608-01-1000_000000</v>
      </c>
      <c r="D3" t="s">
        <v>278</v>
      </c>
      <c r="E3" t="s">
        <v>292</v>
      </c>
      <c r="F3" s="1">
        <v>46181</v>
      </c>
      <c r="G3" t="str">
        <f>IF(COUNTIF(C3, "*" &amp; SUBSTITUTE(B3, ".RET", "") &amp; "*"), "OK", "NÃO LOCALIZADO")</f>
        <v>OK</v>
      </c>
    </row>
    <row r="4" spans="1:7" x14ac:dyDescent="0.25">
      <c r="A4" t="s">
        <v>286</v>
      </c>
      <c r="B4" t="s">
        <v>286</v>
      </c>
      <c r="C4" t="str">
        <f t="shared" si="0"/>
        <v>RET-Teste01-0001-02020202-20260608-00-1001_000000</v>
      </c>
      <c r="D4" t="s">
        <v>279</v>
      </c>
      <c r="E4" t="s">
        <v>292</v>
      </c>
      <c r="F4" s="1">
        <v>46181</v>
      </c>
      <c r="G4" t="str">
        <f t="shared" ref="G4:G5" si="1">IF(COUNTIF(C4, "*" &amp; SUBSTITUTE(B4, ".RET", "") &amp; "*"), "OK", "NÃO LOCALIZADO")</f>
        <v>OK</v>
      </c>
    </row>
    <row r="5" spans="1:7" x14ac:dyDescent="0.25">
      <c r="A5" t="s">
        <v>285</v>
      </c>
      <c r="B5" t="s">
        <v>287</v>
      </c>
      <c r="C5" t="str">
        <f t="shared" si="0"/>
        <v/>
      </c>
      <c r="D5" t="s">
        <v>280</v>
      </c>
      <c r="E5" t="s">
        <v>292</v>
      </c>
      <c r="F5" s="1">
        <v>46181</v>
      </c>
      <c r="G5" t="str">
        <f t="shared" si="1"/>
        <v>NÃO LOCALIZADO</v>
      </c>
    </row>
    <row r="6" spans="1:7" x14ac:dyDescent="0.25">
      <c r="A6" t="s">
        <v>277</v>
      </c>
      <c r="F6" s="1"/>
    </row>
    <row r="7" spans="1:7" x14ac:dyDescent="0.25">
      <c r="F7" s="1"/>
    </row>
    <row r="8" spans="1:7" x14ac:dyDescent="0.25">
      <c r="F8" s="1"/>
    </row>
    <row r="9" spans="1:7" x14ac:dyDescent="0.25">
      <c r="F9" s="1"/>
    </row>
    <row r="10" spans="1:7" x14ac:dyDescent="0.25">
      <c r="F10" s="1"/>
    </row>
    <row r="11" spans="1:7" x14ac:dyDescent="0.25">
      <c r="F11" s="1"/>
    </row>
    <row r="12" spans="1:7" x14ac:dyDescent="0.25">
      <c r="F12" s="1"/>
    </row>
    <row r="13" spans="1:7" x14ac:dyDescent="0.25">
      <c r="F13" s="1"/>
    </row>
    <row r="14" spans="1:7" x14ac:dyDescent="0.25">
      <c r="F14" s="1"/>
    </row>
    <row r="15" spans="1:7" x14ac:dyDescent="0.25">
      <c r="F15" s="1"/>
    </row>
    <row r="16" spans="1:7" x14ac:dyDescent="0.25">
      <c r="F16" s="1"/>
    </row>
    <row r="17" spans="6:6" x14ac:dyDescent="0.25">
      <c r="F17" s="1"/>
    </row>
    <row r="18" spans="6:6" x14ac:dyDescent="0.25">
      <c r="F18" s="1"/>
    </row>
    <row r="19" spans="6:6" x14ac:dyDescent="0.25">
      <c r="F19" s="1"/>
    </row>
    <row r="20" spans="6:6" x14ac:dyDescent="0.25">
      <c r="F20" s="1"/>
    </row>
    <row r="21" spans="6:6" x14ac:dyDescent="0.25">
      <c r="F21" s="1"/>
    </row>
    <row r="22" spans="6:6" x14ac:dyDescent="0.25">
      <c r="F22" s="1"/>
    </row>
    <row r="23" spans="6:6" x14ac:dyDescent="0.25">
      <c r="F23" s="1"/>
    </row>
    <row r="24" spans="6:6" x14ac:dyDescent="0.25">
      <c r="F24" s="1"/>
    </row>
    <row r="25" spans="6:6" x14ac:dyDescent="0.25">
      <c r="F25" s="1"/>
    </row>
    <row r="26" spans="6:6" x14ac:dyDescent="0.25">
      <c r="F26" s="1"/>
    </row>
    <row r="27" spans="6:6" x14ac:dyDescent="0.25">
      <c r="F27" s="1"/>
    </row>
    <row r="28" spans="6:6" x14ac:dyDescent="0.25">
      <c r="F28" s="1"/>
    </row>
    <row r="29" spans="6:6" x14ac:dyDescent="0.25">
      <c r="F29" s="1"/>
    </row>
    <row r="30" spans="6:6" x14ac:dyDescent="0.25">
      <c r="F30" s="1"/>
    </row>
    <row r="31" spans="6:6" x14ac:dyDescent="0.25">
      <c r="F31" s="1"/>
    </row>
    <row r="32" spans="6:6" x14ac:dyDescent="0.25">
      <c r="F32" s="1"/>
    </row>
    <row r="33" spans="6:6" x14ac:dyDescent="0.25">
      <c r="F33" s="1"/>
    </row>
    <row r="34" spans="6:6" x14ac:dyDescent="0.25">
      <c r="F34" s="1"/>
    </row>
    <row r="35" spans="6:6" x14ac:dyDescent="0.25">
      <c r="F35" s="1"/>
    </row>
    <row r="36" spans="6:6" x14ac:dyDescent="0.25">
      <c r="F36" s="1"/>
    </row>
    <row r="37" spans="6:6" x14ac:dyDescent="0.25">
      <c r="F37" s="1"/>
    </row>
    <row r="38" spans="6:6" x14ac:dyDescent="0.25">
      <c r="F38" s="1"/>
    </row>
    <row r="39" spans="6:6" x14ac:dyDescent="0.25">
      <c r="F39" s="1"/>
    </row>
    <row r="40" spans="6:6" x14ac:dyDescent="0.25">
      <c r="F40" s="1"/>
    </row>
    <row r="41" spans="6:6" x14ac:dyDescent="0.25">
      <c r="F41" s="1"/>
    </row>
    <row r="42" spans="6:6" x14ac:dyDescent="0.25">
      <c r="F42" s="1"/>
    </row>
    <row r="43" spans="6:6" x14ac:dyDescent="0.25">
      <c r="F43" s="1"/>
    </row>
    <row r="44" spans="6:6" x14ac:dyDescent="0.25">
      <c r="F44" s="1"/>
    </row>
    <row r="45" spans="6:6" x14ac:dyDescent="0.25">
      <c r="F45" s="1"/>
    </row>
    <row r="46" spans="6:6" x14ac:dyDescent="0.25">
      <c r="F46" s="1"/>
    </row>
    <row r="47" spans="6:6" x14ac:dyDescent="0.25">
      <c r="F47" s="1"/>
    </row>
    <row r="48" spans="6:6" x14ac:dyDescent="0.25">
      <c r="F48" s="1"/>
    </row>
    <row r="49" spans="6:6" x14ac:dyDescent="0.25">
      <c r="F49" s="1"/>
    </row>
    <row r="50" spans="6:6" x14ac:dyDescent="0.25">
      <c r="F50" s="1"/>
    </row>
    <row r="51" spans="6:6" x14ac:dyDescent="0.25">
      <c r="F51" s="1"/>
    </row>
    <row r="52" spans="6:6" x14ac:dyDescent="0.25">
      <c r="F52" s="1"/>
    </row>
    <row r="53" spans="6:6" x14ac:dyDescent="0.25">
      <c r="F53" s="1"/>
    </row>
    <row r="54" spans="6:6" x14ac:dyDescent="0.25">
      <c r="F54" s="1"/>
    </row>
    <row r="55" spans="6:6" x14ac:dyDescent="0.25">
      <c r="F55" s="1"/>
    </row>
    <row r="56" spans="6:6" x14ac:dyDescent="0.25">
      <c r="F56" s="1"/>
    </row>
    <row r="57" spans="6:6" x14ac:dyDescent="0.25">
      <c r="F57" s="1"/>
    </row>
    <row r="58" spans="6:6" x14ac:dyDescent="0.25">
      <c r="F58" s="1"/>
    </row>
    <row r="59" spans="6:6" x14ac:dyDescent="0.25">
      <c r="F59" s="1"/>
    </row>
    <row r="60" spans="6:6" x14ac:dyDescent="0.25">
      <c r="F60" s="1"/>
    </row>
    <row r="61" spans="6:6" x14ac:dyDescent="0.25">
      <c r="F61" s="1"/>
    </row>
    <row r="62" spans="6:6" x14ac:dyDescent="0.25">
      <c r="F62" s="1"/>
    </row>
    <row r="63" spans="6:6" x14ac:dyDescent="0.25">
      <c r="F63" s="1"/>
    </row>
    <row r="64" spans="6:6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  <row r="76" spans="6:6" x14ac:dyDescent="0.25">
      <c r="F76" s="1"/>
    </row>
    <row r="77" spans="6:6" x14ac:dyDescent="0.25">
      <c r="F77" s="1"/>
    </row>
    <row r="78" spans="6:6" x14ac:dyDescent="0.25">
      <c r="F78" s="1"/>
    </row>
    <row r="79" spans="6:6" x14ac:dyDescent="0.25">
      <c r="F79" s="1"/>
    </row>
    <row r="80" spans="6:6" x14ac:dyDescent="0.25">
      <c r="F80" s="1"/>
    </row>
    <row r="81" spans="6:6" x14ac:dyDescent="0.25">
      <c r="F81" s="1"/>
    </row>
    <row r="82" spans="6:6" x14ac:dyDescent="0.25">
      <c r="F82" s="1"/>
    </row>
    <row r="83" spans="6:6" x14ac:dyDescent="0.25">
      <c r="F83" s="1"/>
    </row>
    <row r="84" spans="6:6" x14ac:dyDescent="0.25">
      <c r="F84" s="1"/>
    </row>
    <row r="85" spans="6:6" x14ac:dyDescent="0.25">
      <c r="F85" s="1"/>
    </row>
    <row r="86" spans="6:6" x14ac:dyDescent="0.25">
      <c r="F86" s="1"/>
    </row>
    <row r="87" spans="6:6" x14ac:dyDescent="0.25">
      <c r="F87" s="1"/>
    </row>
    <row r="88" spans="6:6" x14ac:dyDescent="0.25">
      <c r="F88" s="1"/>
    </row>
    <row r="89" spans="6:6" x14ac:dyDescent="0.25">
      <c r="F89" s="1"/>
    </row>
    <row r="90" spans="6:6" x14ac:dyDescent="0.25">
      <c r="F90" s="1"/>
    </row>
    <row r="91" spans="6:6" x14ac:dyDescent="0.25">
      <c r="F91" s="1"/>
    </row>
    <row r="92" spans="6:6" x14ac:dyDescent="0.25">
      <c r="F92" s="1"/>
    </row>
    <row r="93" spans="6:6" x14ac:dyDescent="0.25">
      <c r="F93" s="1"/>
    </row>
    <row r="94" spans="6:6" x14ac:dyDescent="0.25">
      <c r="F94" s="1"/>
    </row>
    <row r="95" spans="6:6" x14ac:dyDescent="0.25">
      <c r="F95" s="1"/>
    </row>
    <row r="96" spans="6:6" x14ac:dyDescent="0.25">
      <c r="F96" s="1"/>
    </row>
    <row r="97" spans="6:6" x14ac:dyDescent="0.25">
      <c r="F97" s="1"/>
    </row>
    <row r="98" spans="6:6" x14ac:dyDescent="0.25">
      <c r="F98" s="1"/>
    </row>
    <row r="99" spans="6:6" x14ac:dyDescent="0.25">
      <c r="F99" s="1"/>
    </row>
    <row r="100" spans="6:6" x14ac:dyDescent="0.25">
      <c r="F100" s="1"/>
    </row>
    <row r="101" spans="6:6" x14ac:dyDescent="0.25">
      <c r="F101" s="1"/>
    </row>
    <row r="102" spans="6:6" x14ac:dyDescent="0.25">
      <c r="F102" s="1"/>
    </row>
    <row r="103" spans="6:6" x14ac:dyDescent="0.25">
      <c r="F103" s="1"/>
    </row>
    <row r="104" spans="6:6" x14ac:dyDescent="0.25">
      <c r="F104" s="1"/>
    </row>
    <row r="105" spans="6:6" x14ac:dyDescent="0.25">
      <c r="F105" s="1"/>
    </row>
    <row r="106" spans="6:6" x14ac:dyDescent="0.25">
      <c r="F106" s="1"/>
    </row>
    <row r="107" spans="6:6" x14ac:dyDescent="0.25">
      <c r="F107" s="1"/>
    </row>
    <row r="108" spans="6:6" x14ac:dyDescent="0.25">
      <c r="F108" s="1"/>
    </row>
    <row r="109" spans="6:6" x14ac:dyDescent="0.25">
      <c r="F109" s="1"/>
    </row>
    <row r="110" spans="6:6" x14ac:dyDescent="0.25">
      <c r="F110" s="1"/>
    </row>
    <row r="111" spans="6:6" x14ac:dyDescent="0.25">
      <c r="F111" s="1"/>
    </row>
    <row r="112" spans="6:6" x14ac:dyDescent="0.25">
      <c r="F112" s="1"/>
    </row>
    <row r="113" spans="6:6" x14ac:dyDescent="0.25">
      <c r="F113" s="1"/>
    </row>
    <row r="114" spans="6:6" x14ac:dyDescent="0.25">
      <c r="F114" s="1"/>
    </row>
    <row r="115" spans="6:6" x14ac:dyDescent="0.25">
      <c r="F115" s="1"/>
    </row>
    <row r="116" spans="6:6" x14ac:dyDescent="0.25">
      <c r="F116" s="1"/>
    </row>
    <row r="117" spans="6:6" x14ac:dyDescent="0.25">
      <c r="F117" s="1"/>
    </row>
    <row r="118" spans="6:6" x14ac:dyDescent="0.25">
      <c r="F118" s="1"/>
    </row>
    <row r="119" spans="6:6" x14ac:dyDescent="0.25">
      <c r="F119" s="1"/>
    </row>
    <row r="120" spans="6:6" x14ac:dyDescent="0.25">
      <c r="F120" s="1"/>
    </row>
    <row r="121" spans="6:6" x14ac:dyDescent="0.25">
      <c r="F121" s="1"/>
    </row>
    <row r="122" spans="6:6" x14ac:dyDescent="0.25">
      <c r="F122" s="1"/>
    </row>
    <row r="123" spans="6:6" x14ac:dyDescent="0.25">
      <c r="F123" s="1"/>
    </row>
    <row r="124" spans="6:6" x14ac:dyDescent="0.25">
      <c r="F124" s="1"/>
    </row>
    <row r="125" spans="6:6" x14ac:dyDescent="0.25">
      <c r="F125" s="1"/>
    </row>
    <row r="126" spans="6:6" x14ac:dyDescent="0.25">
      <c r="F126" s="1"/>
    </row>
    <row r="127" spans="6:6" x14ac:dyDescent="0.25">
      <c r="F127" s="1"/>
    </row>
    <row r="128" spans="6:6" x14ac:dyDescent="0.25">
      <c r="F128" s="1"/>
    </row>
    <row r="129" spans="6:6" x14ac:dyDescent="0.25">
      <c r="F129" s="1"/>
    </row>
    <row r="130" spans="6:6" x14ac:dyDescent="0.25">
      <c r="F130" s="1"/>
    </row>
    <row r="131" spans="6:6" x14ac:dyDescent="0.25">
      <c r="F131" s="1"/>
    </row>
    <row r="132" spans="6:6" x14ac:dyDescent="0.25">
      <c r="F132" s="1"/>
    </row>
    <row r="133" spans="6:6" x14ac:dyDescent="0.25">
      <c r="F133" s="1"/>
    </row>
    <row r="134" spans="6:6" x14ac:dyDescent="0.25">
      <c r="F134" s="1"/>
    </row>
    <row r="135" spans="6:6" x14ac:dyDescent="0.25">
      <c r="F135" s="1"/>
    </row>
    <row r="136" spans="6:6" x14ac:dyDescent="0.25">
      <c r="F136" s="1"/>
    </row>
    <row r="137" spans="6:6" x14ac:dyDescent="0.25">
      <c r="F137" s="1"/>
    </row>
    <row r="138" spans="6:6" x14ac:dyDescent="0.25">
      <c r="F138" s="1"/>
    </row>
    <row r="139" spans="6:6" x14ac:dyDescent="0.25">
      <c r="F139" s="1"/>
    </row>
    <row r="140" spans="6:6" x14ac:dyDescent="0.25">
      <c r="F140" s="1"/>
    </row>
    <row r="141" spans="6:6" x14ac:dyDescent="0.25">
      <c r="F141" s="1"/>
    </row>
    <row r="142" spans="6:6" x14ac:dyDescent="0.25">
      <c r="F142" s="1"/>
    </row>
    <row r="143" spans="6:6" x14ac:dyDescent="0.25">
      <c r="F143" s="1"/>
    </row>
    <row r="144" spans="6:6" x14ac:dyDescent="0.25">
      <c r="F144" s="1"/>
    </row>
    <row r="145" spans="2:7" x14ac:dyDescent="0.25">
      <c r="F145" s="1"/>
    </row>
    <row r="146" spans="2:7" x14ac:dyDescent="0.25">
      <c r="F146" s="1"/>
    </row>
    <row r="147" spans="2:7" x14ac:dyDescent="0.25">
      <c r="F147" s="1"/>
    </row>
    <row r="148" spans="2:7" x14ac:dyDescent="0.25">
      <c r="F148" s="1"/>
    </row>
    <row r="149" spans="2:7" x14ac:dyDescent="0.25">
      <c r="F149" s="1"/>
    </row>
    <row r="150" spans="2:7" x14ac:dyDescent="0.25">
      <c r="F150" s="1"/>
    </row>
    <row r="151" spans="2:7" x14ac:dyDescent="0.25">
      <c r="F151" s="1"/>
    </row>
    <row r="152" spans="2:7" x14ac:dyDescent="0.25">
      <c r="F152" s="1"/>
    </row>
    <row r="153" spans="2:7" x14ac:dyDescent="0.25">
      <c r="F153" s="1"/>
    </row>
    <row r="154" spans="2:7" x14ac:dyDescent="0.25">
      <c r="F154" s="1"/>
    </row>
    <row r="155" spans="2:7" x14ac:dyDescent="0.25">
      <c r="F155" s="1"/>
    </row>
    <row r="156" spans="2:7" x14ac:dyDescent="0.25">
      <c r="F156" s="1"/>
    </row>
    <row r="157" spans="2:7" x14ac:dyDescent="0.25">
      <c r="F157" s="1"/>
    </row>
    <row r="158" spans="2:7" x14ac:dyDescent="0.25">
      <c r="F158" s="1"/>
    </row>
    <row r="159" spans="2:7" hidden="1" x14ac:dyDescent="0.25">
      <c r="B159" t="s">
        <v>137</v>
      </c>
      <c r="C159" t="str">
        <f t="shared" ref="C159:C190" si="2">IFERROR(_xlfn.XLOOKUP(SUBSTITUTE(B159,".RET",""),$A:$A,$A:$A),"")</f>
        <v/>
      </c>
      <c r="D159" t="s">
        <v>61</v>
      </c>
      <c r="E159" t="s">
        <v>135</v>
      </c>
      <c r="F159" s="1">
        <v>46178</v>
      </c>
      <c r="G159" t="str">
        <f t="shared" ref="G159:G194" si="3">IF(COUNTIF(C159, "*" &amp; SUBSTITUTE(B159, ".RET", "") &amp; "*"), "OK", "NÃO LOCALIZADO")</f>
        <v>NÃO LOCALIZADO</v>
      </c>
    </row>
    <row r="160" spans="2:7" hidden="1" x14ac:dyDescent="0.25">
      <c r="B160" t="s">
        <v>138</v>
      </c>
      <c r="C160" t="str">
        <f t="shared" si="2"/>
        <v/>
      </c>
      <c r="D160" t="s">
        <v>122</v>
      </c>
      <c r="E160" t="s">
        <v>135</v>
      </c>
      <c r="F160" s="1">
        <v>46178</v>
      </c>
      <c r="G160" t="str">
        <f t="shared" si="3"/>
        <v>NÃO LOCALIZADO</v>
      </c>
    </row>
    <row r="161" spans="2:7" hidden="1" x14ac:dyDescent="0.25">
      <c r="B161" t="s">
        <v>139</v>
      </c>
      <c r="C161" t="str">
        <f t="shared" si="2"/>
        <v/>
      </c>
      <c r="D161" t="s">
        <v>91</v>
      </c>
      <c r="E161" t="s">
        <v>135</v>
      </c>
      <c r="F161" s="1">
        <v>46178</v>
      </c>
      <c r="G161" t="str">
        <f t="shared" si="3"/>
        <v>NÃO LOCALIZADO</v>
      </c>
    </row>
    <row r="162" spans="2:7" hidden="1" x14ac:dyDescent="0.25">
      <c r="B162" t="s">
        <v>140</v>
      </c>
      <c r="C162" t="str">
        <f t="shared" si="2"/>
        <v/>
      </c>
      <c r="D162" t="s">
        <v>16</v>
      </c>
      <c r="E162" t="s">
        <v>135</v>
      </c>
      <c r="F162" s="1">
        <v>46178</v>
      </c>
      <c r="G162" t="str">
        <f t="shared" si="3"/>
        <v>NÃO LOCALIZADO</v>
      </c>
    </row>
    <row r="163" spans="2:7" hidden="1" x14ac:dyDescent="0.25">
      <c r="B163" t="s">
        <v>141</v>
      </c>
      <c r="C163" t="str">
        <f t="shared" si="2"/>
        <v/>
      </c>
      <c r="D163" t="s">
        <v>125</v>
      </c>
      <c r="E163" t="s">
        <v>135</v>
      </c>
      <c r="F163" s="1">
        <v>46178</v>
      </c>
      <c r="G163" t="str">
        <f t="shared" si="3"/>
        <v>NÃO LOCALIZADO</v>
      </c>
    </row>
    <row r="164" spans="2:7" hidden="1" x14ac:dyDescent="0.25">
      <c r="B164" t="s">
        <v>142</v>
      </c>
      <c r="C164" t="str">
        <f t="shared" si="2"/>
        <v/>
      </c>
      <c r="D164" t="s">
        <v>108</v>
      </c>
      <c r="E164" t="s">
        <v>135</v>
      </c>
      <c r="F164" s="1">
        <v>46178</v>
      </c>
      <c r="G164" t="str">
        <f t="shared" si="3"/>
        <v>NÃO LOCALIZADO</v>
      </c>
    </row>
    <row r="165" spans="2:7" hidden="1" x14ac:dyDescent="0.25">
      <c r="B165" t="s">
        <v>143</v>
      </c>
      <c r="C165" t="str">
        <f t="shared" si="2"/>
        <v/>
      </c>
      <c r="D165" t="s">
        <v>63</v>
      </c>
      <c r="E165" t="s">
        <v>135</v>
      </c>
      <c r="F165" s="1">
        <v>46178</v>
      </c>
      <c r="G165" t="str">
        <f t="shared" si="3"/>
        <v>NÃO LOCALIZADO</v>
      </c>
    </row>
    <row r="166" spans="2:7" hidden="1" x14ac:dyDescent="0.25">
      <c r="B166" t="s">
        <v>144</v>
      </c>
      <c r="C166" t="str">
        <f t="shared" si="2"/>
        <v/>
      </c>
      <c r="D166" t="s">
        <v>95</v>
      </c>
      <c r="E166" t="s">
        <v>135</v>
      </c>
      <c r="F166" s="1">
        <v>46178</v>
      </c>
      <c r="G166" t="str">
        <f t="shared" si="3"/>
        <v>NÃO LOCALIZADO</v>
      </c>
    </row>
    <row r="167" spans="2:7" hidden="1" x14ac:dyDescent="0.25">
      <c r="B167" t="s">
        <v>145</v>
      </c>
      <c r="C167" t="str">
        <f t="shared" si="2"/>
        <v/>
      </c>
      <c r="D167" t="s">
        <v>43</v>
      </c>
      <c r="E167" t="s">
        <v>135</v>
      </c>
      <c r="F167" s="1">
        <v>46178</v>
      </c>
      <c r="G167" t="str">
        <f t="shared" si="3"/>
        <v>NÃO LOCALIZADO</v>
      </c>
    </row>
    <row r="168" spans="2:7" hidden="1" x14ac:dyDescent="0.25">
      <c r="B168" t="s">
        <v>146</v>
      </c>
      <c r="C168" t="str">
        <f t="shared" si="2"/>
        <v/>
      </c>
      <c r="D168" t="s">
        <v>106</v>
      </c>
      <c r="E168" t="s">
        <v>135</v>
      </c>
      <c r="F168" s="1">
        <v>46178</v>
      </c>
      <c r="G168" t="str">
        <f t="shared" si="3"/>
        <v>NÃO LOCALIZADO</v>
      </c>
    </row>
    <row r="169" spans="2:7" hidden="1" x14ac:dyDescent="0.25">
      <c r="B169" t="s">
        <v>147</v>
      </c>
      <c r="C169" t="str">
        <f t="shared" si="2"/>
        <v/>
      </c>
      <c r="D169" t="s">
        <v>26</v>
      </c>
      <c r="E169" t="s">
        <v>135</v>
      </c>
      <c r="F169" s="1">
        <v>46178</v>
      </c>
      <c r="G169" t="str">
        <f t="shared" si="3"/>
        <v>NÃO LOCALIZADO</v>
      </c>
    </row>
    <row r="170" spans="2:7" hidden="1" x14ac:dyDescent="0.25">
      <c r="B170" t="s">
        <v>148</v>
      </c>
      <c r="C170" t="str">
        <f t="shared" si="2"/>
        <v/>
      </c>
      <c r="D170" t="s">
        <v>28</v>
      </c>
      <c r="E170" t="s">
        <v>135</v>
      </c>
      <c r="F170" s="1">
        <v>46178</v>
      </c>
      <c r="G170" t="str">
        <f t="shared" si="3"/>
        <v>NÃO LOCALIZADO</v>
      </c>
    </row>
    <row r="171" spans="2:7" hidden="1" x14ac:dyDescent="0.25">
      <c r="B171" t="s">
        <v>149</v>
      </c>
      <c r="C171" t="str">
        <f t="shared" si="2"/>
        <v/>
      </c>
      <c r="D171" t="s">
        <v>18</v>
      </c>
      <c r="E171" t="s">
        <v>135</v>
      </c>
      <c r="F171" s="1">
        <v>46178</v>
      </c>
      <c r="G171" t="str">
        <f t="shared" si="3"/>
        <v>NÃO LOCALIZADO</v>
      </c>
    </row>
    <row r="172" spans="2:7" hidden="1" x14ac:dyDescent="0.25">
      <c r="B172" t="s">
        <v>150</v>
      </c>
      <c r="C172" t="str">
        <f t="shared" si="2"/>
        <v/>
      </c>
      <c r="D172" t="s">
        <v>18</v>
      </c>
      <c r="E172" t="s">
        <v>135</v>
      </c>
      <c r="F172" s="1">
        <v>46178</v>
      </c>
      <c r="G172" t="str">
        <f t="shared" si="3"/>
        <v>NÃO LOCALIZADO</v>
      </c>
    </row>
    <row r="173" spans="2:7" hidden="1" x14ac:dyDescent="0.25">
      <c r="B173" t="s">
        <v>151</v>
      </c>
      <c r="C173" t="str">
        <f t="shared" si="2"/>
        <v/>
      </c>
      <c r="D173" t="s">
        <v>104</v>
      </c>
      <c r="E173" t="s">
        <v>135</v>
      </c>
      <c r="F173" s="1">
        <v>46178</v>
      </c>
      <c r="G173" t="str">
        <f t="shared" si="3"/>
        <v>NÃO LOCALIZADO</v>
      </c>
    </row>
    <row r="174" spans="2:7" hidden="1" x14ac:dyDescent="0.25">
      <c r="B174" t="s">
        <v>152</v>
      </c>
      <c r="C174" t="str">
        <f t="shared" si="2"/>
        <v/>
      </c>
      <c r="D174" t="s">
        <v>92</v>
      </c>
      <c r="E174" t="s">
        <v>135</v>
      </c>
      <c r="F174" s="1">
        <v>46178</v>
      </c>
      <c r="G174" t="str">
        <f t="shared" si="3"/>
        <v>NÃO LOCALIZADO</v>
      </c>
    </row>
    <row r="175" spans="2:7" hidden="1" x14ac:dyDescent="0.25">
      <c r="B175" t="s">
        <v>153</v>
      </c>
      <c r="C175" t="str">
        <f t="shared" si="2"/>
        <v/>
      </c>
      <c r="D175" t="s">
        <v>37</v>
      </c>
      <c r="E175" t="s">
        <v>135</v>
      </c>
      <c r="F175" s="1">
        <v>46178</v>
      </c>
      <c r="G175" t="str">
        <f t="shared" si="3"/>
        <v>NÃO LOCALIZADO</v>
      </c>
    </row>
    <row r="176" spans="2:7" hidden="1" x14ac:dyDescent="0.25">
      <c r="B176" t="s">
        <v>154</v>
      </c>
      <c r="C176" t="str">
        <f t="shared" si="2"/>
        <v/>
      </c>
      <c r="D176" t="s">
        <v>59</v>
      </c>
      <c r="E176" t="s">
        <v>135</v>
      </c>
      <c r="F176" s="1">
        <v>46178</v>
      </c>
      <c r="G176" t="str">
        <f t="shared" si="3"/>
        <v>NÃO LOCALIZADO</v>
      </c>
    </row>
    <row r="177" spans="2:7" hidden="1" x14ac:dyDescent="0.25">
      <c r="B177" t="s">
        <v>155</v>
      </c>
      <c r="C177" t="str">
        <f t="shared" si="2"/>
        <v/>
      </c>
      <c r="D177" t="s">
        <v>116</v>
      </c>
      <c r="E177" t="s">
        <v>135</v>
      </c>
      <c r="F177" s="1">
        <v>46178</v>
      </c>
      <c r="G177" t="str">
        <f t="shared" si="3"/>
        <v>NÃO LOCALIZADO</v>
      </c>
    </row>
    <row r="178" spans="2:7" hidden="1" x14ac:dyDescent="0.25">
      <c r="B178" t="s">
        <v>156</v>
      </c>
      <c r="C178" t="str">
        <f t="shared" si="2"/>
        <v/>
      </c>
      <c r="D178" t="s">
        <v>29</v>
      </c>
      <c r="E178" t="s">
        <v>135</v>
      </c>
      <c r="F178" s="1">
        <v>46178</v>
      </c>
      <c r="G178" t="str">
        <f t="shared" si="3"/>
        <v>NÃO LOCALIZADO</v>
      </c>
    </row>
    <row r="179" spans="2:7" hidden="1" x14ac:dyDescent="0.25">
      <c r="B179" t="s">
        <v>157</v>
      </c>
      <c r="C179" t="str">
        <f t="shared" si="2"/>
        <v/>
      </c>
      <c r="D179" t="s">
        <v>90</v>
      </c>
      <c r="E179" t="s">
        <v>135</v>
      </c>
      <c r="F179" s="1">
        <v>46178</v>
      </c>
      <c r="G179" t="str">
        <f t="shared" si="3"/>
        <v>NÃO LOCALIZADO</v>
      </c>
    </row>
    <row r="180" spans="2:7" hidden="1" x14ac:dyDescent="0.25">
      <c r="B180" t="s">
        <v>158</v>
      </c>
      <c r="C180" t="str">
        <f t="shared" si="2"/>
        <v/>
      </c>
      <c r="D180" t="s">
        <v>41</v>
      </c>
      <c r="E180" t="s">
        <v>135</v>
      </c>
      <c r="F180" s="1">
        <v>46178</v>
      </c>
      <c r="G180" t="str">
        <f t="shared" si="3"/>
        <v>NÃO LOCALIZADO</v>
      </c>
    </row>
    <row r="181" spans="2:7" hidden="1" x14ac:dyDescent="0.25">
      <c r="B181" t="s">
        <v>159</v>
      </c>
      <c r="C181" t="str">
        <f t="shared" si="2"/>
        <v/>
      </c>
      <c r="D181" t="s">
        <v>53</v>
      </c>
      <c r="E181" t="s">
        <v>135</v>
      </c>
      <c r="F181" s="1">
        <v>46178</v>
      </c>
      <c r="G181" t="str">
        <f t="shared" si="3"/>
        <v>NÃO LOCALIZADO</v>
      </c>
    </row>
    <row r="182" spans="2:7" hidden="1" x14ac:dyDescent="0.25">
      <c r="B182" t="s">
        <v>160</v>
      </c>
      <c r="C182" t="str">
        <f t="shared" si="2"/>
        <v/>
      </c>
      <c r="D182" t="s">
        <v>11</v>
      </c>
      <c r="E182" t="s">
        <v>135</v>
      </c>
      <c r="F182" s="1">
        <v>46178</v>
      </c>
      <c r="G182" t="str">
        <f t="shared" si="3"/>
        <v>NÃO LOCALIZADO</v>
      </c>
    </row>
    <row r="183" spans="2:7" hidden="1" x14ac:dyDescent="0.25">
      <c r="B183" t="s">
        <v>161</v>
      </c>
      <c r="C183" t="str">
        <f t="shared" si="2"/>
        <v/>
      </c>
      <c r="D183" t="s">
        <v>76</v>
      </c>
      <c r="E183" t="s">
        <v>135</v>
      </c>
      <c r="F183" s="1">
        <v>46178</v>
      </c>
      <c r="G183" t="str">
        <f t="shared" si="3"/>
        <v>NÃO LOCALIZADO</v>
      </c>
    </row>
    <row r="184" spans="2:7" hidden="1" x14ac:dyDescent="0.25">
      <c r="B184" t="s">
        <v>162</v>
      </c>
      <c r="C184" t="str">
        <f t="shared" si="2"/>
        <v/>
      </c>
      <c r="D184" t="s">
        <v>99</v>
      </c>
      <c r="E184" t="s">
        <v>135</v>
      </c>
      <c r="F184" s="1">
        <v>46178</v>
      </c>
      <c r="G184" t="str">
        <f t="shared" si="3"/>
        <v>NÃO LOCALIZADO</v>
      </c>
    </row>
    <row r="185" spans="2:7" hidden="1" x14ac:dyDescent="0.25">
      <c r="B185" t="s">
        <v>163</v>
      </c>
      <c r="C185" t="str">
        <f t="shared" si="2"/>
        <v/>
      </c>
      <c r="D185" t="s">
        <v>9</v>
      </c>
      <c r="E185" t="s">
        <v>135</v>
      </c>
      <c r="F185" s="1">
        <v>46178</v>
      </c>
      <c r="G185" t="str">
        <f t="shared" si="3"/>
        <v>NÃO LOCALIZADO</v>
      </c>
    </row>
    <row r="186" spans="2:7" hidden="1" x14ac:dyDescent="0.25">
      <c r="B186" t="s">
        <v>164</v>
      </c>
      <c r="C186" t="str">
        <f t="shared" si="2"/>
        <v/>
      </c>
      <c r="D186" t="s">
        <v>85</v>
      </c>
      <c r="E186" t="s">
        <v>135</v>
      </c>
      <c r="F186" s="1">
        <v>46178</v>
      </c>
      <c r="G186" t="str">
        <f t="shared" si="3"/>
        <v>NÃO LOCALIZADO</v>
      </c>
    </row>
    <row r="187" spans="2:7" hidden="1" x14ac:dyDescent="0.25">
      <c r="B187" t="s">
        <v>165</v>
      </c>
      <c r="C187" t="str">
        <f t="shared" si="2"/>
        <v/>
      </c>
      <c r="D187" t="s">
        <v>34</v>
      </c>
      <c r="E187" t="s">
        <v>135</v>
      </c>
      <c r="F187" s="1">
        <v>46178</v>
      </c>
      <c r="G187" t="str">
        <f t="shared" si="3"/>
        <v>NÃO LOCALIZADO</v>
      </c>
    </row>
    <row r="188" spans="2:7" hidden="1" x14ac:dyDescent="0.25">
      <c r="B188" t="s">
        <v>166</v>
      </c>
      <c r="C188" t="str">
        <f t="shared" si="2"/>
        <v/>
      </c>
      <c r="D188" t="s">
        <v>49</v>
      </c>
      <c r="E188" t="s">
        <v>135</v>
      </c>
      <c r="F188" s="1">
        <v>46178</v>
      </c>
      <c r="G188" t="str">
        <f t="shared" si="3"/>
        <v>NÃO LOCALIZADO</v>
      </c>
    </row>
    <row r="189" spans="2:7" hidden="1" x14ac:dyDescent="0.25">
      <c r="B189" t="s">
        <v>167</v>
      </c>
      <c r="C189" t="str">
        <f t="shared" si="2"/>
        <v/>
      </c>
      <c r="D189" t="s">
        <v>21</v>
      </c>
      <c r="E189" t="s">
        <v>135</v>
      </c>
      <c r="F189" s="1">
        <v>46178</v>
      </c>
      <c r="G189" t="str">
        <f t="shared" si="3"/>
        <v>NÃO LOCALIZADO</v>
      </c>
    </row>
    <row r="190" spans="2:7" hidden="1" x14ac:dyDescent="0.25">
      <c r="B190" t="s">
        <v>168</v>
      </c>
      <c r="C190" t="str">
        <f t="shared" si="2"/>
        <v/>
      </c>
      <c r="D190" t="s">
        <v>118</v>
      </c>
      <c r="E190" t="s">
        <v>135</v>
      </c>
      <c r="F190" s="1">
        <v>46178</v>
      </c>
      <c r="G190" t="str">
        <f t="shared" si="3"/>
        <v>NÃO LOCALIZADO</v>
      </c>
    </row>
    <row r="191" spans="2:7" hidden="1" x14ac:dyDescent="0.25">
      <c r="B191" t="s">
        <v>169</v>
      </c>
      <c r="C191" t="str">
        <f t="shared" ref="C191:C222" si="4">IFERROR(_xlfn.XLOOKUP(SUBSTITUTE(B191,".RET",""),$A:$A,$A:$A),"")</f>
        <v/>
      </c>
      <c r="D191" t="s">
        <v>119</v>
      </c>
      <c r="E191" t="s">
        <v>135</v>
      </c>
      <c r="F191" s="1">
        <v>46178</v>
      </c>
      <c r="G191" t="str">
        <f t="shared" si="3"/>
        <v>NÃO LOCALIZADO</v>
      </c>
    </row>
    <row r="192" spans="2:7" hidden="1" x14ac:dyDescent="0.25">
      <c r="B192" t="s">
        <v>170</v>
      </c>
      <c r="C192" t="str">
        <f t="shared" si="4"/>
        <v/>
      </c>
      <c r="D192" t="s">
        <v>78</v>
      </c>
      <c r="E192" t="s">
        <v>135</v>
      </c>
      <c r="F192" s="1">
        <v>46178</v>
      </c>
      <c r="G192" t="str">
        <f t="shared" si="3"/>
        <v>NÃO LOCALIZADO</v>
      </c>
    </row>
    <row r="193" spans="2:7" hidden="1" x14ac:dyDescent="0.25">
      <c r="B193" t="s">
        <v>171</v>
      </c>
      <c r="C193" t="str">
        <f t="shared" si="4"/>
        <v/>
      </c>
      <c r="D193" t="s">
        <v>35</v>
      </c>
      <c r="E193" t="s">
        <v>135</v>
      </c>
      <c r="F193" s="1">
        <v>46178</v>
      </c>
      <c r="G193" t="str">
        <f t="shared" si="3"/>
        <v>NÃO LOCALIZADO</v>
      </c>
    </row>
    <row r="194" spans="2:7" hidden="1" x14ac:dyDescent="0.25">
      <c r="B194" t="s">
        <v>172</v>
      </c>
      <c r="C194" t="str">
        <f t="shared" si="4"/>
        <v/>
      </c>
      <c r="D194" t="s">
        <v>32</v>
      </c>
      <c r="E194" t="s">
        <v>135</v>
      </c>
      <c r="F194" s="1">
        <v>46178</v>
      </c>
      <c r="G194" t="str">
        <f t="shared" si="3"/>
        <v>NÃO LOCALIZADO</v>
      </c>
    </row>
    <row r="195" spans="2:7" hidden="1" x14ac:dyDescent="0.25">
      <c r="B195" t="s">
        <v>173</v>
      </c>
      <c r="C195" t="str">
        <f t="shared" si="4"/>
        <v/>
      </c>
      <c r="D195" t="s">
        <v>36</v>
      </c>
      <c r="E195" t="s">
        <v>135</v>
      </c>
      <c r="F195" s="1">
        <v>46178</v>
      </c>
      <c r="G195" t="str">
        <f t="shared" ref="G195:G258" si="5">IF(COUNTIF(C195, "*" &amp; SUBSTITUTE(B195, ".RET", "") &amp; "*"), "OK", "NÃO LOCALIZADO")</f>
        <v>NÃO LOCALIZADO</v>
      </c>
    </row>
    <row r="196" spans="2:7" hidden="1" x14ac:dyDescent="0.25">
      <c r="B196" t="s">
        <v>174</v>
      </c>
      <c r="C196" t="str">
        <f t="shared" si="4"/>
        <v/>
      </c>
      <c r="D196" t="s">
        <v>110</v>
      </c>
      <c r="E196" t="s">
        <v>135</v>
      </c>
      <c r="F196" s="1">
        <v>46178</v>
      </c>
      <c r="G196" t="str">
        <f t="shared" si="5"/>
        <v>NÃO LOCALIZADO</v>
      </c>
    </row>
    <row r="197" spans="2:7" hidden="1" x14ac:dyDescent="0.25">
      <c r="B197" t="s">
        <v>175</v>
      </c>
      <c r="C197" t="str">
        <f t="shared" si="4"/>
        <v/>
      </c>
      <c r="D197" t="s">
        <v>38</v>
      </c>
      <c r="E197" t="s">
        <v>135</v>
      </c>
      <c r="F197" s="1">
        <v>46178</v>
      </c>
      <c r="G197" t="str">
        <f t="shared" si="5"/>
        <v>NÃO LOCALIZADO</v>
      </c>
    </row>
    <row r="198" spans="2:7" hidden="1" x14ac:dyDescent="0.25">
      <c r="B198" t="s">
        <v>176</v>
      </c>
      <c r="C198" t="str">
        <f t="shared" si="4"/>
        <v/>
      </c>
      <c r="D198" t="s">
        <v>41</v>
      </c>
      <c r="E198" t="s">
        <v>135</v>
      </c>
      <c r="F198" s="1">
        <v>46178</v>
      </c>
      <c r="G198" t="str">
        <f t="shared" si="5"/>
        <v>NÃO LOCALIZADO</v>
      </c>
    </row>
    <row r="199" spans="2:7" hidden="1" x14ac:dyDescent="0.25">
      <c r="B199" t="s">
        <v>177</v>
      </c>
      <c r="C199" t="str">
        <f t="shared" si="4"/>
        <v/>
      </c>
      <c r="D199" t="s">
        <v>24</v>
      </c>
      <c r="E199" t="s">
        <v>135</v>
      </c>
      <c r="F199" s="1">
        <v>46178</v>
      </c>
      <c r="G199" t="str">
        <f t="shared" si="5"/>
        <v>NÃO LOCALIZADO</v>
      </c>
    </row>
    <row r="200" spans="2:7" hidden="1" x14ac:dyDescent="0.25">
      <c r="B200" t="s">
        <v>178</v>
      </c>
      <c r="C200" t="str">
        <f t="shared" si="4"/>
        <v/>
      </c>
      <c r="D200" t="s">
        <v>44</v>
      </c>
      <c r="E200" t="s">
        <v>135</v>
      </c>
      <c r="F200" s="1">
        <v>46178</v>
      </c>
      <c r="G200" t="str">
        <f t="shared" si="5"/>
        <v>NÃO LOCALIZADO</v>
      </c>
    </row>
    <row r="201" spans="2:7" hidden="1" x14ac:dyDescent="0.25">
      <c r="B201" t="s">
        <v>179</v>
      </c>
      <c r="C201" t="str">
        <f t="shared" si="4"/>
        <v/>
      </c>
      <c r="D201" t="s">
        <v>87</v>
      </c>
      <c r="E201" t="s">
        <v>135</v>
      </c>
      <c r="F201" s="1">
        <v>46178</v>
      </c>
      <c r="G201" t="str">
        <f t="shared" si="5"/>
        <v>NÃO LOCALIZADO</v>
      </c>
    </row>
    <row r="202" spans="2:7" hidden="1" x14ac:dyDescent="0.25">
      <c r="B202" t="s">
        <v>180</v>
      </c>
      <c r="C202" t="str">
        <f t="shared" si="4"/>
        <v/>
      </c>
      <c r="D202" t="s">
        <v>25</v>
      </c>
      <c r="E202" t="s">
        <v>135</v>
      </c>
      <c r="F202" s="1">
        <v>46178</v>
      </c>
      <c r="G202" t="str">
        <f t="shared" si="5"/>
        <v>NÃO LOCALIZADO</v>
      </c>
    </row>
    <row r="203" spans="2:7" hidden="1" x14ac:dyDescent="0.25">
      <c r="B203" t="s">
        <v>181</v>
      </c>
      <c r="C203" t="str">
        <f t="shared" si="4"/>
        <v/>
      </c>
      <c r="D203" t="s">
        <v>70</v>
      </c>
      <c r="E203" t="s">
        <v>135</v>
      </c>
      <c r="F203" s="1">
        <v>46178</v>
      </c>
      <c r="G203" t="str">
        <f t="shared" si="5"/>
        <v>NÃO LOCALIZADO</v>
      </c>
    </row>
    <row r="204" spans="2:7" hidden="1" x14ac:dyDescent="0.25">
      <c r="B204" t="s">
        <v>182</v>
      </c>
      <c r="C204" t="str">
        <f t="shared" si="4"/>
        <v/>
      </c>
      <c r="D204" t="s">
        <v>67</v>
      </c>
      <c r="E204" t="s">
        <v>135</v>
      </c>
      <c r="F204" s="1">
        <v>46178</v>
      </c>
      <c r="G204" t="str">
        <f t="shared" si="5"/>
        <v>NÃO LOCALIZADO</v>
      </c>
    </row>
    <row r="205" spans="2:7" hidden="1" x14ac:dyDescent="0.25">
      <c r="B205" t="s">
        <v>183</v>
      </c>
      <c r="C205" t="str">
        <f t="shared" si="4"/>
        <v/>
      </c>
      <c r="D205" t="s">
        <v>86</v>
      </c>
      <c r="E205" t="s">
        <v>135</v>
      </c>
      <c r="F205" s="1">
        <v>46178</v>
      </c>
      <c r="G205" t="str">
        <f t="shared" si="5"/>
        <v>NÃO LOCALIZADO</v>
      </c>
    </row>
    <row r="206" spans="2:7" hidden="1" x14ac:dyDescent="0.25">
      <c r="B206" t="s">
        <v>184</v>
      </c>
      <c r="C206" t="str">
        <f t="shared" si="4"/>
        <v/>
      </c>
      <c r="D206" t="s">
        <v>75</v>
      </c>
      <c r="E206" t="s">
        <v>135</v>
      </c>
      <c r="F206" s="1">
        <v>46178</v>
      </c>
      <c r="G206" t="str">
        <f t="shared" si="5"/>
        <v>NÃO LOCALIZADO</v>
      </c>
    </row>
    <row r="207" spans="2:7" hidden="1" x14ac:dyDescent="0.25">
      <c r="B207" t="s">
        <v>185</v>
      </c>
      <c r="C207" t="str">
        <f t="shared" si="4"/>
        <v/>
      </c>
      <c r="D207" t="s">
        <v>82</v>
      </c>
      <c r="E207" t="s">
        <v>135</v>
      </c>
      <c r="F207" s="1">
        <v>46178</v>
      </c>
      <c r="G207" t="str">
        <f t="shared" si="5"/>
        <v>NÃO LOCALIZADO</v>
      </c>
    </row>
    <row r="208" spans="2:7" hidden="1" x14ac:dyDescent="0.25">
      <c r="B208" t="s">
        <v>186</v>
      </c>
      <c r="C208" t="str">
        <f t="shared" si="4"/>
        <v/>
      </c>
      <c r="D208" t="s">
        <v>83</v>
      </c>
      <c r="E208" t="s">
        <v>135</v>
      </c>
      <c r="F208" s="1">
        <v>46178</v>
      </c>
      <c r="G208" t="str">
        <f t="shared" si="5"/>
        <v>NÃO LOCALIZADO</v>
      </c>
    </row>
    <row r="209" spans="2:7" hidden="1" x14ac:dyDescent="0.25">
      <c r="B209" t="s">
        <v>187</v>
      </c>
      <c r="C209" t="str">
        <f t="shared" si="4"/>
        <v/>
      </c>
      <c r="D209" t="s">
        <v>103</v>
      </c>
      <c r="E209" t="s">
        <v>135</v>
      </c>
      <c r="F209" s="1">
        <v>46178</v>
      </c>
      <c r="G209" t="str">
        <f t="shared" si="5"/>
        <v>NÃO LOCALIZADO</v>
      </c>
    </row>
    <row r="210" spans="2:7" hidden="1" x14ac:dyDescent="0.25">
      <c r="B210" t="s">
        <v>188</v>
      </c>
      <c r="C210" t="str">
        <f t="shared" si="4"/>
        <v/>
      </c>
      <c r="D210" t="s">
        <v>52</v>
      </c>
      <c r="E210" t="s">
        <v>135</v>
      </c>
      <c r="F210" s="1">
        <v>46178</v>
      </c>
      <c r="G210" t="str">
        <f t="shared" si="5"/>
        <v>NÃO LOCALIZADO</v>
      </c>
    </row>
    <row r="211" spans="2:7" hidden="1" x14ac:dyDescent="0.25">
      <c r="B211" t="s">
        <v>189</v>
      </c>
      <c r="C211" t="str">
        <f t="shared" si="4"/>
        <v/>
      </c>
      <c r="D211" t="s">
        <v>20</v>
      </c>
      <c r="E211" t="s">
        <v>135</v>
      </c>
      <c r="F211" s="1">
        <v>46178</v>
      </c>
      <c r="G211" t="str">
        <f t="shared" si="5"/>
        <v>NÃO LOCALIZADO</v>
      </c>
    </row>
    <row r="212" spans="2:7" hidden="1" x14ac:dyDescent="0.25">
      <c r="B212" t="s">
        <v>190</v>
      </c>
      <c r="C212" t="str">
        <f t="shared" si="4"/>
        <v/>
      </c>
      <c r="D212" t="s">
        <v>95</v>
      </c>
      <c r="E212" t="s">
        <v>135</v>
      </c>
      <c r="F212" s="1">
        <v>46178</v>
      </c>
      <c r="G212" t="str">
        <f t="shared" si="5"/>
        <v>NÃO LOCALIZADO</v>
      </c>
    </row>
    <row r="213" spans="2:7" hidden="1" x14ac:dyDescent="0.25">
      <c r="B213" t="s">
        <v>191</v>
      </c>
      <c r="C213" t="str">
        <f t="shared" si="4"/>
        <v/>
      </c>
      <c r="D213" t="s">
        <v>93</v>
      </c>
      <c r="E213" t="s">
        <v>135</v>
      </c>
      <c r="F213" s="1">
        <v>46178</v>
      </c>
      <c r="G213" t="str">
        <f t="shared" si="5"/>
        <v>NÃO LOCALIZADO</v>
      </c>
    </row>
    <row r="214" spans="2:7" hidden="1" x14ac:dyDescent="0.25">
      <c r="B214" t="s">
        <v>192</v>
      </c>
      <c r="C214" t="str">
        <f t="shared" si="4"/>
        <v/>
      </c>
      <c r="D214" t="s">
        <v>73</v>
      </c>
      <c r="E214" t="s">
        <v>135</v>
      </c>
      <c r="F214" s="1">
        <v>46178</v>
      </c>
      <c r="G214" t="str">
        <f t="shared" si="5"/>
        <v>NÃO LOCALIZADO</v>
      </c>
    </row>
    <row r="215" spans="2:7" hidden="1" x14ac:dyDescent="0.25">
      <c r="B215" t="s">
        <v>193</v>
      </c>
      <c r="C215" t="str">
        <f t="shared" si="4"/>
        <v/>
      </c>
      <c r="D215" t="s">
        <v>89</v>
      </c>
      <c r="E215" t="s">
        <v>135</v>
      </c>
      <c r="F215" s="1">
        <v>46178</v>
      </c>
      <c r="G215" t="str">
        <f t="shared" si="5"/>
        <v>NÃO LOCALIZADO</v>
      </c>
    </row>
    <row r="216" spans="2:7" hidden="1" x14ac:dyDescent="0.25">
      <c r="B216" t="s">
        <v>194</v>
      </c>
      <c r="C216" t="str">
        <f t="shared" si="4"/>
        <v/>
      </c>
      <c r="D216" t="s">
        <v>47</v>
      </c>
      <c r="E216" t="s">
        <v>135</v>
      </c>
      <c r="F216" s="1">
        <v>46178</v>
      </c>
      <c r="G216" t="str">
        <f t="shared" si="5"/>
        <v>NÃO LOCALIZADO</v>
      </c>
    </row>
    <row r="217" spans="2:7" hidden="1" x14ac:dyDescent="0.25">
      <c r="B217" t="s">
        <v>195</v>
      </c>
      <c r="C217" t="str">
        <f t="shared" si="4"/>
        <v/>
      </c>
      <c r="D217" t="s">
        <v>117</v>
      </c>
      <c r="E217" t="s">
        <v>135</v>
      </c>
      <c r="F217" s="1">
        <v>46178</v>
      </c>
      <c r="G217" t="str">
        <f t="shared" si="5"/>
        <v>NÃO LOCALIZADO</v>
      </c>
    </row>
    <row r="218" spans="2:7" hidden="1" x14ac:dyDescent="0.25">
      <c r="B218" t="s">
        <v>196</v>
      </c>
      <c r="C218" t="str">
        <f t="shared" si="4"/>
        <v/>
      </c>
      <c r="D218" t="s">
        <v>33</v>
      </c>
      <c r="E218" t="s">
        <v>135</v>
      </c>
      <c r="F218" s="1">
        <v>46178</v>
      </c>
      <c r="G218" t="str">
        <f t="shared" si="5"/>
        <v>NÃO LOCALIZADO</v>
      </c>
    </row>
    <row r="219" spans="2:7" hidden="1" x14ac:dyDescent="0.25">
      <c r="B219" t="s">
        <v>197</v>
      </c>
      <c r="C219" t="str">
        <f t="shared" si="4"/>
        <v/>
      </c>
      <c r="D219" t="s">
        <v>113</v>
      </c>
      <c r="E219" t="s">
        <v>135</v>
      </c>
      <c r="F219" s="1">
        <v>46178</v>
      </c>
      <c r="G219" t="str">
        <f t="shared" si="5"/>
        <v>NÃO LOCALIZADO</v>
      </c>
    </row>
    <row r="220" spans="2:7" hidden="1" x14ac:dyDescent="0.25">
      <c r="B220" t="s">
        <v>198</v>
      </c>
      <c r="C220" t="str">
        <f t="shared" si="4"/>
        <v/>
      </c>
      <c r="D220" t="s">
        <v>90</v>
      </c>
      <c r="E220" t="s">
        <v>135</v>
      </c>
      <c r="F220" s="1">
        <v>46178</v>
      </c>
      <c r="G220" t="str">
        <f t="shared" si="5"/>
        <v>NÃO LOCALIZADO</v>
      </c>
    </row>
    <row r="221" spans="2:7" hidden="1" x14ac:dyDescent="0.25">
      <c r="B221" t="s">
        <v>199</v>
      </c>
      <c r="C221" t="str">
        <f t="shared" si="4"/>
        <v/>
      </c>
      <c r="D221" t="s">
        <v>50</v>
      </c>
      <c r="E221" t="s">
        <v>135</v>
      </c>
      <c r="F221" s="1">
        <v>46178</v>
      </c>
      <c r="G221" t="str">
        <f t="shared" si="5"/>
        <v>NÃO LOCALIZADO</v>
      </c>
    </row>
    <row r="222" spans="2:7" hidden="1" x14ac:dyDescent="0.25">
      <c r="B222" t="s">
        <v>200</v>
      </c>
      <c r="C222" t="str">
        <f t="shared" si="4"/>
        <v/>
      </c>
      <c r="D222" t="s">
        <v>42</v>
      </c>
      <c r="E222" t="s">
        <v>135</v>
      </c>
      <c r="F222" s="1">
        <v>46178</v>
      </c>
      <c r="G222" t="str">
        <f t="shared" si="5"/>
        <v>NÃO LOCALIZADO</v>
      </c>
    </row>
    <row r="223" spans="2:7" hidden="1" x14ac:dyDescent="0.25">
      <c r="B223" t="s">
        <v>201</v>
      </c>
      <c r="C223" t="str">
        <f t="shared" ref="C223:C254" si="6">IFERROR(_xlfn.XLOOKUP(SUBSTITUTE(B223,".RET",""),$A:$A,$A:$A),"")</f>
        <v/>
      </c>
      <c r="D223" t="s">
        <v>80</v>
      </c>
      <c r="E223" t="s">
        <v>135</v>
      </c>
      <c r="F223" s="1">
        <v>46178</v>
      </c>
      <c r="G223" t="str">
        <f t="shared" si="5"/>
        <v>NÃO LOCALIZADO</v>
      </c>
    </row>
    <row r="224" spans="2:7" hidden="1" x14ac:dyDescent="0.25">
      <c r="B224" t="s">
        <v>202</v>
      </c>
      <c r="C224" t="str">
        <f t="shared" si="6"/>
        <v/>
      </c>
      <c r="D224" t="s">
        <v>124</v>
      </c>
      <c r="E224" t="s">
        <v>135</v>
      </c>
      <c r="F224" s="1">
        <v>46178</v>
      </c>
      <c r="G224" t="str">
        <f t="shared" si="5"/>
        <v>NÃO LOCALIZADO</v>
      </c>
    </row>
    <row r="225" spans="2:7" hidden="1" x14ac:dyDescent="0.25">
      <c r="B225" t="s">
        <v>203</v>
      </c>
      <c r="C225" t="str">
        <f t="shared" si="6"/>
        <v/>
      </c>
      <c r="D225" t="s">
        <v>65</v>
      </c>
      <c r="E225" t="s">
        <v>135</v>
      </c>
      <c r="F225" s="1">
        <v>46178</v>
      </c>
      <c r="G225" t="str">
        <f t="shared" si="5"/>
        <v>NÃO LOCALIZADO</v>
      </c>
    </row>
    <row r="226" spans="2:7" hidden="1" x14ac:dyDescent="0.25">
      <c r="B226" t="s">
        <v>204</v>
      </c>
      <c r="C226" t="str">
        <f t="shared" si="6"/>
        <v/>
      </c>
      <c r="D226" t="s">
        <v>100</v>
      </c>
      <c r="E226" t="s">
        <v>135</v>
      </c>
      <c r="F226" s="1">
        <v>46178</v>
      </c>
      <c r="G226" t="str">
        <f t="shared" si="5"/>
        <v>NÃO LOCALIZADO</v>
      </c>
    </row>
    <row r="227" spans="2:7" hidden="1" x14ac:dyDescent="0.25">
      <c r="B227" t="s">
        <v>205</v>
      </c>
      <c r="C227" t="str">
        <f t="shared" si="6"/>
        <v/>
      </c>
      <c r="D227" t="s">
        <v>123</v>
      </c>
      <c r="E227" t="s">
        <v>135</v>
      </c>
      <c r="F227" s="1">
        <v>46178</v>
      </c>
      <c r="G227" t="str">
        <f t="shared" si="5"/>
        <v>NÃO LOCALIZADO</v>
      </c>
    </row>
    <row r="228" spans="2:7" hidden="1" x14ac:dyDescent="0.25">
      <c r="B228" t="s">
        <v>206</v>
      </c>
      <c r="C228" t="str">
        <f t="shared" si="6"/>
        <v/>
      </c>
      <c r="D228" t="s">
        <v>58</v>
      </c>
      <c r="E228" t="s">
        <v>135</v>
      </c>
      <c r="F228" s="1">
        <v>46178</v>
      </c>
      <c r="G228" t="str">
        <f t="shared" si="5"/>
        <v>NÃO LOCALIZADO</v>
      </c>
    </row>
    <row r="229" spans="2:7" hidden="1" x14ac:dyDescent="0.25">
      <c r="B229" t="s">
        <v>207</v>
      </c>
      <c r="C229" t="str">
        <f t="shared" si="6"/>
        <v/>
      </c>
      <c r="D229" t="s">
        <v>111</v>
      </c>
      <c r="E229" t="s">
        <v>135</v>
      </c>
      <c r="F229" s="1">
        <v>46178</v>
      </c>
      <c r="G229" t="str">
        <f t="shared" si="5"/>
        <v>NÃO LOCALIZADO</v>
      </c>
    </row>
    <row r="230" spans="2:7" hidden="1" x14ac:dyDescent="0.25">
      <c r="B230" t="s">
        <v>208</v>
      </c>
      <c r="C230" t="str">
        <f t="shared" si="6"/>
        <v/>
      </c>
      <c r="D230" t="s">
        <v>94</v>
      </c>
      <c r="E230" t="s">
        <v>135</v>
      </c>
      <c r="F230" s="1">
        <v>46178</v>
      </c>
      <c r="G230" t="str">
        <f t="shared" si="5"/>
        <v>NÃO LOCALIZADO</v>
      </c>
    </row>
    <row r="231" spans="2:7" hidden="1" x14ac:dyDescent="0.25">
      <c r="B231" t="s">
        <v>209</v>
      </c>
      <c r="C231" t="str">
        <f t="shared" si="6"/>
        <v/>
      </c>
      <c r="D231" t="s">
        <v>120</v>
      </c>
      <c r="E231" t="s">
        <v>135</v>
      </c>
      <c r="F231" s="1">
        <v>46178</v>
      </c>
      <c r="G231" t="str">
        <f t="shared" si="5"/>
        <v>NÃO LOCALIZADO</v>
      </c>
    </row>
    <row r="232" spans="2:7" hidden="1" x14ac:dyDescent="0.25">
      <c r="B232" t="s">
        <v>210</v>
      </c>
      <c r="C232" t="str">
        <f t="shared" si="6"/>
        <v/>
      </c>
      <c r="D232" t="s">
        <v>31</v>
      </c>
      <c r="E232" t="s">
        <v>135</v>
      </c>
      <c r="F232" s="1">
        <v>46178</v>
      </c>
      <c r="G232" t="str">
        <f t="shared" si="5"/>
        <v>NÃO LOCALIZADO</v>
      </c>
    </row>
    <row r="233" spans="2:7" hidden="1" x14ac:dyDescent="0.25">
      <c r="B233" t="s">
        <v>211</v>
      </c>
      <c r="C233" t="str">
        <f t="shared" si="6"/>
        <v/>
      </c>
      <c r="D233" t="s">
        <v>39</v>
      </c>
      <c r="E233" t="s">
        <v>135</v>
      </c>
      <c r="F233" s="1">
        <v>46178</v>
      </c>
      <c r="G233" t="str">
        <f t="shared" si="5"/>
        <v>NÃO LOCALIZADO</v>
      </c>
    </row>
    <row r="234" spans="2:7" hidden="1" x14ac:dyDescent="0.25">
      <c r="B234" t="s">
        <v>212</v>
      </c>
      <c r="C234" t="str">
        <f t="shared" si="6"/>
        <v/>
      </c>
      <c r="D234" t="s">
        <v>23</v>
      </c>
      <c r="E234" t="s">
        <v>135</v>
      </c>
      <c r="F234" s="1">
        <v>46178</v>
      </c>
      <c r="G234" t="str">
        <f t="shared" si="5"/>
        <v>NÃO LOCALIZADO</v>
      </c>
    </row>
    <row r="235" spans="2:7" hidden="1" x14ac:dyDescent="0.25">
      <c r="B235" t="s">
        <v>213</v>
      </c>
      <c r="C235" t="str">
        <f t="shared" si="6"/>
        <v/>
      </c>
      <c r="D235" t="s">
        <v>114</v>
      </c>
      <c r="E235" t="s">
        <v>135</v>
      </c>
      <c r="F235" s="1">
        <v>46178</v>
      </c>
      <c r="G235" t="str">
        <f t="shared" si="5"/>
        <v>NÃO LOCALIZADO</v>
      </c>
    </row>
    <row r="236" spans="2:7" hidden="1" x14ac:dyDescent="0.25">
      <c r="B236" t="s">
        <v>214</v>
      </c>
      <c r="C236" t="str">
        <f t="shared" si="6"/>
        <v/>
      </c>
      <c r="D236" t="s">
        <v>84</v>
      </c>
      <c r="E236" t="s">
        <v>135</v>
      </c>
      <c r="F236" s="1">
        <v>46178</v>
      </c>
      <c r="G236" t="str">
        <f t="shared" si="5"/>
        <v>NÃO LOCALIZADO</v>
      </c>
    </row>
    <row r="237" spans="2:7" hidden="1" x14ac:dyDescent="0.25">
      <c r="B237" t="s">
        <v>215</v>
      </c>
      <c r="C237" t="str">
        <f t="shared" si="6"/>
        <v/>
      </c>
      <c r="D237" t="s">
        <v>30</v>
      </c>
      <c r="E237" t="s">
        <v>135</v>
      </c>
      <c r="F237" s="1">
        <v>46178</v>
      </c>
      <c r="G237" t="str">
        <f t="shared" si="5"/>
        <v>NÃO LOCALIZADO</v>
      </c>
    </row>
    <row r="238" spans="2:7" hidden="1" x14ac:dyDescent="0.25">
      <c r="B238" t="s">
        <v>216</v>
      </c>
      <c r="C238" t="str">
        <f t="shared" si="6"/>
        <v/>
      </c>
      <c r="D238" t="s">
        <v>112</v>
      </c>
      <c r="E238" t="s">
        <v>135</v>
      </c>
      <c r="F238" s="1">
        <v>46178</v>
      </c>
      <c r="G238" t="str">
        <f t="shared" si="5"/>
        <v>NÃO LOCALIZADO</v>
      </c>
    </row>
    <row r="239" spans="2:7" hidden="1" x14ac:dyDescent="0.25">
      <c r="B239" t="s">
        <v>217</v>
      </c>
      <c r="C239" t="str">
        <f t="shared" si="6"/>
        <v/>
      </c>
      <c r="D239" t="s">
        <v>48</v>
      </c>
      <c r="E239" t="s">
        <v>135</v>
      </c>
      <c r="F239" s="1">
        <v>46178</v>
      </c>
      <c r="G239" t="str">
        <f t="shared" si="5"/>
        <v>NÃO LOCALIZADO</v>
      </c>
    </row>
    <row r="240" spans="2:7" hidden="1" x14ac:dyDescent="0.25">
      <c r="B240" t="s">
        <v>218</v>
      </c>
      <c r="C240" t="str">
        <f t="shared" si="6"/>
        <v/>
      </c>
      <c r="D240" t="s">
        <v>94</v>
      </c>
      <c r="E240" t="s">
        <v>135</v>
      </c>
      <c r="F240" s="1">
        <v>46178</v>
      </c>
      <c r="G240" t="str">
        <f t="shared" si="5"/>
        <v>NÃO LOCALIZADO</v>
      </c>
    </row>
    <row r="241" spans="2:7" hidden="1" x14ac:dyDescent="0.25">
      <c r="B241" t="s">
        <v>219</v>
      </c>
      <c r="C241" t="str">
        <f t="shared" si="6"/>
        <v/>
      </c>
      <c r="D241" t="s">
        <v>79</v>
      </c>
      <c r="E241" t="s">
        <v>135</v>
      </c>
      <c r="F241" s="1">
        <v>46178</v>
      </c>
      <c r="G241" t="str">
        <f t="shared" si="5"/>
        <v>NÃO LOCALIZADO</v>
      </c>
    </row>
    <row r="242" spans="2:7" hidden="1" x14ac:dyDescent="0.25">
      <c r="B242" t="s">
        <v>220</v>
      </c>
      <c r="C242" t="str">
        <f t="shared" si="6"/>
        <v/>
      </c>
      <c r="D242" t="s">
        <v>14</v>
      </c>
      <c r="E242" t="s">
        <v>135</v>
      </c>
      <c r="F242" s="1">
        <v>46178</v>
      </c>
      <c r="G242" t="str">
        <f t="shared" si="5"/>
        <v>NÃO LOCALIZADO</v>
      </c>
    </row>
    <row r="243" spans="2:7" hidden="1" x14ac:dyDescent="0.25">
      <c r="B243" t="s">
        <v>221</v>
      </c>
      <c r="C243" t="str">
        <f t="shared" si="6"/>
        <v/>
      </c>
      <c r="D243" t="s">
        <v>62</v>
      </c>
      <c r="E243" t="s">
        <v>135</v>
      </c>
      <c r="F243" s="1">
        <v>46178</v>
      </c>
      <c r="G243" t="str">
        <f t="shared" si="5"/>
        <v>NÃO LOCALIZADO</v>
      </c>
    </row>
    <row r="244" spans="2:7" hidden="1" x14ac:dyDescent="0.25">
      <c r="B244" t="s">
        <v>222</v>
      </c>
      <c r="C244" t="str">
        <f t="shared" si="6"/>
        <v/>
      </c>
      <c r="D244" t="s">
        <v>62</v>
      </c>
      <c r="E244" t="s">
        <v>135</v>
      </c>
      <c r="F244" s="1">
        <v>46178</v>
      </c>
      <c r="G244" t="str">
        <f t="shared" si="5"/>
        <v>NÃO LOCALIZADO</v>
      </c>
    </row>
    <row r="245" spans="2:7" hidden="1" x14ac:dyDescent="0.25">
      <c r="B245" t="s">
        <v>223</v>
      </c>
      <c r="C245" t="str">
        <f t="shared" si="6"/>
        <v/>
      </c>
      <c r="D245" t="s">
        <v>8</v>
      </c>
      <c r="E245" t="s">
        <v>135</v>
      </c>
      <c r="F245" s="1">
        <v>46178</v>
      </c>
      <c r="G245" t="str">
        <f t="shared" si="5"/>
        <v>NÃO LOCALIZADO</v>
      </c>
    </row>
    <row r="246" spans="2:7" hidden="1" x14ac:dyDescent="0.25">
      <c r="B246" t="s">
        <v>224</v>
      </c>
      <c r="C246" t="str">
        <f t="shared" si="6"/>
        <v/>
      </c>
      <c r="D246" t="s">
        <v>25</v>
      </c>
      <c r="E246" t="s">
        <v>135</v>
      </c>
      <c r="F246" s="1">
        <v>46178</v>
      </c>
      <c r="G246" t="str">
        <f t="shared" si="5"/>
        <v>NÃO LOCALIZADO</v>
      </c>
    </row>
    <row r="247" spans="2:7" hidden="1" x14ac:dyDescent="0.25">
      <c r="B247" t="s">
        <v>225</v>
      </c>
      <c r="C247" t="str">
        <f t="shared" si="6"/>
        <v/>
      </c>
      <c r="D247" t="s">
        <v>19</v>
      </c>
      <c r="E247" t="s">
        <v>135</v>
      </c>
      <c r="F247" s="1">
        <v>46178</v>
      </c>
      <c r="G247" t="str">
        <f t="shared" si="5"/>
        <v>NÃO LOCALIZADO</v>
      </c>
    </row>
    <row r="248" spans="2:7" hidden="1" x14ac:dyDescent="0.25">
      <c r="B248" t="s">
        <v>226</v>
      </c>
      <c r="C248" t="str">
        <f t="shared" si="6"/>
        <v/>
      </c>
      <c r="D248" t="s">
        <v>46</v>
      </c>
      <c r="E248" t="s">
        <v>135</v>
      </c>
      <c r="F248" s="1">
        <v>46178</v>
      </c>
      <c r="G248" t="str">
        <f t="shared" si="5"/>
        <v>NÃO LOCALIZADO</v>
      </c>
    </row>
    <row r="249" spans="2:7" hidden="1" x14ac:dyDescent="0.25">
      <c r="B249" t="s">
        <v>227</v>
      </c>
      <c r="C249" t="str">
        <f t="shared" si="6"/>
        <v/>
      </c>
      <c r="D249" t="s">
        <v>102</v>
      </c>
      <c r="E249" t="s">
        <v>135</v>
      </c>
      <c r="F249" s="1">
        <v>46178</v>
      </c>
      <c r="G249" t="str">
        <f t="shared" si="5"/>
        <v>NÃO LOCALIZADO</v>
      </c>
    </row>
    <row r="250" spans="2:7" hidden="1" x14ac:dyDescent="0.25">
      <c r="B250" t="s">
        <v>228</v>
      </c>
      <c r="C250" t="str">
        <f t="shared" si="6"/>
        <v/>
      </c>
      <c r="D250" t="s">
        <v>15</v>
      </c>
      <c r="E250" t="s">
        <v>135</v>
      </c>
      <c r="F250" s="1">
        <v>46178</v>
      </c>
      <c r="G250" t="str">
        <f t="shared" si="5"/>
        <v>NÃO LOCALIZADO</v>
      </c>
    </row>
    <row r="251" spans="2:7" hidden="1" x14ac:dyDescent="0.25">
      <c r="B251" t="s">
        <v>229</v>
      </c>
      <c r="C251" t="str">
        <f t="shared" si="6"/>
        <v/>
      </c>
      <c r="D251" t="s">
        <v>74</v>
      </c>
      <c r="E251" t="s">
        <v>135</v>
      </c>
      <c r="F251" s="1">
        <v>46178</v>
      </c>
      <c r="G251" t="str">
        <f t="shared" si="5"/>
        <v>NÃO LOCALIZADO</v>
      </c>
    </row>
    <row r="252" spans="2:7" hidden="1" x14ac:dyDescent="0.25">
      <c r="B252" t="s">
        <v>230</v>
      </c>
      <c r="C252" t="str">
        <f t="shared" si="6"/>
        <v/>
      </c>
      <c r="D252" t="s">
        <v>22</v>
      </c>
      <c r="E252" t="s">
        <v>135</v>
      </c>
      <c r="F252" s="1">
        <v>46178</v>
      </c>
      <c r="G252" t="str">
        <f t="shared" si="5"/>
        <v>NÃO LOCALIZADO</v>
      </c>
    </row>
    <row r="253" spans="2:7" hidden="1" x14ac:dyDescent="0.25">
      <c r="B253" t="s">
        <v>231</v>
      </c>
      <c r="C253" t="str">
        <f t="shared" si="6"/>
        <v/>
      </c>
      <c r="D253" t="s">
        <v>105</v>
      </c>
      <c r="E253" t="s">
        <v>135</v>
      </c>
      <c r="F253" s="1">
        <v>46178</v>
      </c>
      <c r="G253" t="str">
        <f t="shared" si="5"/>
        <v>NÃO LOCALIZADO</v>
      </c>
    </row>
    <row r="254" spans="2:7" hidden="1" x14ac:dyDescent="0.25">
      <c r="B254" t="s">
        <v>232</v>
      </c>
      <c r="C254" t="str">
        <f t="shared" si="6"/>
        <v/>
      </c>
      <c r="D254" t="s">
        <v>72</v>
      </c>
      <c r="E254" t="s">
        <v>135</v>
      </c>
      <c r="F254" s="1">
        <v>46178</v>
      </c>
      <c r="G254" t="str">
        <f t="shared" si="5"/>
        <v>NÃO LOCALIZADO</v>
      </c>
    </row>
    <row r="255" spans="2:7" hidden="1" x14ac:dyDescent="0.25">
      <c r="B255" t="s">
        <v>233</v>
      </c>
      <c r="C255" t="str">
        <f t="shared" ref="C255:C270" si="7">IFERROR(_xlfn.XLOOKUP(SUBSTITUTE(B255,".RET",""),$A:$A,$A:$A),"")</f>
        <v/>
      </c>
      <c r="D255" t="s">
        <v>101</v>
      </c>
      <c r="E255" t="s">
        <v>135</v>
      </c>
      <c r="F255" s="1">
        <v>46178</v>
      </c>
      <c r="G255" t="str">
        <f t="shared" si="5"/>
        <v>NÃO LOCALIZADO</v>
      </c>
    </row>
    <row r="256" spans="2:7" hidden="1" x14ac:dyDescent="0.25">
      <c r="B256" t="s">
        <v>234</v>
      </c>
      <c r="C256" t="str">
        <f t="shared" si="7"/>
        <v/>
      </c>
      <c r="D256" t="s">
        <v>12</v>
      </c>
      <c r="E256" t="s">
        <v>135</v>
      </c>
      <c r="F256" s="1">
        <v>46178</v>
      </c>
      <c r="G256" t="str">
        <f t="shared" si="5"/>
        <v>NÃO LOCALIZADO</v>
      </c>
    </row>
    <row r="257" spans="2:7" hidden="1" x14ac:dyDescent="0.25">
      <c r="B257" t="s">
        <v>235</v>
      </c>
      <c r="C257" t="str">
        <f t="shared" si="7"/>
        <v/>
      </c>
      <c r="D257" t="s">
        <v>71</v>
      </c>
      <c r="E257" t="s">
        <v>135</v>
      </c>
      <c r="F257" s="1">
        <v>46178</v>
      </c>
      <c r="G257" t="str">
        <f t="shared" si="5"/>
        <v>NÃO LOCALIZADO</v>
      </c>
    </row>
    <row r="258" spans="2:7" hidden="1" x14ac:dyDescent="0.25">
      <c r="B258" t="s">
        <v>236</v>
      </c>
      <c r="C258" t="str">
        <f t="shared" si="7"/>
        <v/>
      </c>
      <c r="D258" t="s">
        <v>81</v>
      </c>
      <c r="E258" t="s">
        <v>135</v>
      </c>
      <c r="F258" s="1">
        <v>46178</v>
      </c>
      <c r="G258" t="str">
        <f t="shared" si="5"/>
        <v>NÃO LOCALIZADO</v>
      </c>
    </row>
    <row r="259" spans="2:7" hidden="1" x14ac:dyDescent="0.25">
      <c r="B259" t="s">
        <v>237</v>
      </c>
      <c r="C259" t="str">
        <f t="shared" si="7"/>
        <v/>
      </c>
      <c r="D259" t="s">
        <v>109</v>
      </c>
      <c r="E259" t="s">
        <v>135</v>
      </c>
      <c r="F259" s="1">
        <v>46178</v>
      </c>
      <c r="G259" t="str">
        <f t="shared" ref="G259:G290" si="8">IF(COUNTIF(C259, "*" &amp; SUBSTITUTE(B259, ".RET", "") &amp; "*"), "OK", "NÃO LOCALIZADO")</f>
        <v>NÃO LOCALIZADO</v>
      </c>
    </row>
    <row r="260" spans="2:7" hidden="1" x14ac:dyDescent="0.25">
      <c r="B260" t="s">
        <v>238</v>
      </c>
      <c r="C260" t="str">
        <f t="shared" si="7"/>
        <v/>
      </c>
      <c r="D260" t="s">
        <v>55</v>
      </c>
      <c r="E260" t="s">
        <v>135</v>
      </c>
      <c r="F260" s="1">
        <v>46178</v>
      </c>
      <c r="G260" t="str">
        <f t="shared" si="8"/>
        <v>NÃO LOCALIZADO</v>
      </c>
    </row>
    <row r="261" spans="2:7" hidden="1" x14ac:dyDescent="0.25">
      <c r="B261" t="s">
        <v>239</v>
      </c>
      <c r="C261" t="str">
        <f t="shared" si="7"/>
        <v/>
      </c>
      <c r="D261" t="s">
        <v>104</v>
      </c>
      <c r="E261" t="s">
        <v>135</v>
      </c>
      <c r="F261" s="1">
        <v>46178</v>
      </c>
      <c r="G261" t="str">
        <f t="shared" si="8"/>
        <v>NÃO LOCALIZADO</v>
      </c>
    </row>
    <row r="262" spans="2:7" hidden="1" x14ac:dyDescent="0.25">
      <c r="B262" t="s">
        <v>240</v>
      </c>
      <c r="C262" t="str">
        <f t="shared" si="7"/>
        <v/>
      </c>
      <c r="D262" t="s">
        <v>77</v>
      </c>
      <c r="E262" t="s">
        <v>135</v>
      </c>
      <c r="F262" s="1">
        <v>46178</v>
      </c>
      <c r="G262" t="str">
        <f t="shared" si="8"/>
        <v>NÃO LOCALIZADO</v>
      </c>
    </row>
    <row r="263" spans="2:7" hidden="1" x14ac:dyDescent="0.25">
      <c r="B263" t="s">
        <v>241</v>
      </c>
      <c r="C263" t="str">
        <f t="shared" si="7"/>
        <v/>
      </c>
      <c r="D263" t="s">
        <v>107</v>
      </c>
      <c r="E263" t="s">
        <v>135</v>
      </c>
      <c r="F263" s="1">
        <v>46178</v>
      </c>
      <c r="G263" t="str">
        <f t="shared" si="8"/>
        <v>NÃO LOCALIZADO</v>
      </c>
    </row>
    <row r="264" spans="2:7" hidden="1" x14ac:dyDescent="0.25">
      <c r="B264" t="s">
        <v>242</v>
      </c>
      <c r="C264" t="str">
        <f t="shared" si="7"/>
        <v/>
      </c>
      <c r="D264" t="s">
        <v>60</v>
      </c>
      <c r="E264" t="s">
        <v>135</v>
      </c>
      <c r="F264" s="1">
        <v>46178</v>
      </c>
      <c r="G264" t="str">
        <f t="shared" si="8"/>
        <v>NÃO LOCALIZADO</v>
      </c>
    </row>
    <row r="265" spans="2:7" hidden="1" x14ac:dyDescent="0.25">
      <c r="B265" t="s">
        <v>243</v>
      </c>
      <c r="C265" t="str">
        <f t="shared" si="7"/>
        <v/>
      </c>
      <c r="D265" t="s">
        <v>13</v>
      </c>
      <c r="E265" t="s">
        <v>135</v>
      </c>
      <c r="F265" s="1">
        <v>46178</v>
      </c>
      <c r="G265" t="str">
        <f t="shared" si="8"/>
        <v>NÃO LOCALIZADO</v>
      </c>
    </row>
    <row r="266" spans="2:7" hidden="1" x14ac:dyDescent="0.25">
      <c r="B266" t="s">
        <v>244</v>
      </c>
      <c r="C266" t="str">
        <f t="shared" si="7"/>
        <v/>
      </c>
      <c r="D266" t="s">
        <v>66</v>
      </c>
      <c r="E266" t="s">
        <v>135</v>
      </c>
      <c r="F266" s="1">
        <v>46178</v>
      </c>
      <c r="G266" t="str">
        <f t="shared" si="8"/>
        <v>NÃO LOCALIZADO</v>
      </c>
    </row>
    <row r="267" spans="2:7" hidden="1" x14ac:dyDescent="0.25">
      <c r="B267" t="s">
        <v>245</v>
      </c>
      <c r="C267" t="str">
        <f t="shared" si="7"/>
        <v/>
      </c>
      <c r="D267" t="s">
        <v>64</v>
      </c>
      <c r="E267" t="s">
        <v>135</v>
      </c>
      <c r="F267" s="1">
        <v>46178</v>
      </c>
      <c r="G267" t="str">
        <f t="shared" si="8"/>
        <v>NÃO LOCALIZADO</v>
      </c>
    </row>
    <row r="268" spans="2:7" hidden="1" x14ac:dyDescent="0.25">
      <c r="B268" t="s">
        <v>246</v>
      </c>
      <c r="C268" t="str">
        <f t="shared" si="7"/>
        <v/>
      </c>
      <c r="D268" t="s">
        <v>121</v>
      </c>
      <c r="E268" t="s">
        <v>135</v>
      </c>
      <c r="F268" s="1">
        <v>46178</v>
      </c>
      <c r="G268" t="str">
        <f t="shared" si="8"/>
        <v>NÃO LOCALIZADO</v>
      </c>
    </row>
    <row r="269" spans="2:7" hidden="1" x14ac:dyDescent="0.25">
      <c r="B269" t="s">
        <v>247</v>
      </c>
      <c r="C269" t="str">
        <f t="shared" si="7"/>
        <v/>
      </c>
      <c r="D269" t="s">
        <v>131</v>
      </c>
      <c r="E269" t="s">
        <v>135</v>
      </c>
      <c r="F269" s="1">
        <v>46178</v>
      </c>
      <c r="G269" t="str">
        <f t="shared" si="8"/>
        <v>NÃO LOCALIZADO</v>
      </c>
    </row>
    <row r="270" spans="2:7" hidden="1" x14ac:dyDescent="0.25">
      <c r="B270" t="s">
        <v>248</v>
      </c>
      <c r="C270" t="str">
        <f t="shared" si="7"/>
        <v/>
      </c>
      <c r="D270" t="s">
        <v>44</v>
      </c>
      <c r="E270" t="s">
        <v>135</v>
      </c>
      <c r="F270" s="1">
        <v>46178</v>
      </c>
      <c r="G270" t="str">
        <f t="shared" si="8"/>
        <v>NÃO LOCALIZADO</v>
      </c>
    </row>
    <row r="271" spans="2:7" hidden="1" x14ac:dyDescent="0.25">
      <c r="B271" t="s">
        <v>249</v>
      </c>
      <c r="D271" t="s">
        <v>57</v>
      </c>
      <c r="E271" t="s">
        <v>135</v>
      </c>
      <c r="F271" s="1">
        <v>46178</v>
      </c>
      <c r="G271" t="str">
        <f t="shared" si="8"/>
        <v>NÃO LOCALIZADO</v>
      </c>
    </row>
    <row r="272" spans="2:7" hidden="1" x14ac:dyDescent="0.25">
      <c r="B272" t="s">
        <v>250</v>
      </c>
      <c r="D272" t="s">
        <v>45</v>
      </c>
      <c r="E272" t="s">
        <v>135</v>
      </c>
      <c r="F272" s="1">
        <v>46178</v>
      </c>
      <c r="G272" t="str">
        <f t="shared" si="8"/>
        <v>NÃO LOCALIZADO</v>
      </c>
    </row>
    <row r="273" spans="2:7" hidden="1" x14ac:dyDescent="0.25">
      <c r="B273" t="s">
        <v>251</v>
      </c>
      <c r="D273" t="s">
        <v>98</v>
      </c>
      <c r="E273" t="s">
        <v>135</v>
      </c>
      <c r="F273" s="1">
        <v>46178</v>
      </c>
      <c r="G273" t="str">
        <f t="shared" si="8"/>
        <v>NÃO LOCALIZADO</v>
      </c>
    </row>
    <row r="274" spans="2:7" hidden="1" x14ac:dyDescent="0.25">
      <c r="B274" t="s">
        <v>252</v>
      </c>
      <c r="D274" t="s">
        <v>97</v>
      </c>
      <c r="E274" t="s">
        <v>135</v>
      </c>
      <c r="F274" s="1">
        <v>46178</v>
      </c>
      <c r="G274" t="str">
        <f t="shared" si="8"/>
        <v>NÃO LOCALIZADO</v>
      </c>
    </row>
    <row r="275" spans="2:7" hidden="1" x14ac:dyDescent="0.25">
      <c r="B275" t="s">
        <v>253</v>
      </c>
      <c r="D275" t="s">
        <v>43</v>
      </c>
      <c r="E275" t="s">
        <v>135</v>
      </c>
      <c r="F275" s="1">
        <v>46178</v>
      </c>
      <c r="G275" t="str">
        <f t="shared" si="8"/>
        <v>NÃO LOCALIZADO</v>
      </c>
    </row>
    <row r="276" spans="2:7" hidden="1" x14ac:dyDescent="0.25">
      <c r="B276" t="s">
        <v>254</v>
      </c>
      <c r="D276" t="s">
        <v>51</v>
      </c>
      <c r="E276" t="s">
        <v>135</v>
      </c>
      <c r="F276" s="1">
        <v>46178</v>
      </c>
      <c r="G276" t="str">
        <f t="shared" si="8"/>
        <v>NÃO LOCALIZADO</v>
      </c>
    </row>
    <row r="277" spans="2:7" hidden="1" x14ac:dyDescent="0.25">
      <c r="B277" t="s">
        <v>255</v>
      </c>
      <c r="D277" t="s">
        <v>10</v>
      </c>
      <c r="E277" t="s">
        <v>135</v>
      </c>
      <c r="F277" s="1">
        <v>46178</v>
      </c>
      <c r="G277" t="str">
        <f t="shared" si="8"/>
        <v>NÃO LOCALIZADO</v>
      </c>
    </row>
    <row r="278" spans="2:7" hidden="1" x14ac:dyDescent="0.25">
      <c r="B278" t="s">
        <v>256</v>
      </c>
      <c r="D278" t="s">
        <v>54</v>
      </c>
      <c r="E278" t="s">
        <v>135</v>
      </c>
      <c r="F278" s="1">
        <v>46178</v>
      </c>
      <c r="G278" t="str">
        <f t="shared" si="8"/>
        <v>NÃO LOCALIZADO</v>
      </c>
    </row>
    <row r="279" spans="2:7" hidden="1" x14ac:dyDescent="0.25">
      <c r="B279" t="s">
        <v>257</v>
      </c>
      <c r="D279" t="s">
        <v>68</v>
      </c>
      <c r="E279" t="s">
        <v>135</v>
      </c>
      <c r="F279" s="1">
        <v>46178</v>
      </c>
      <c r="G279" t="str">
        <f t="shared" si="8"/>
        <v>NÃO LOCALIZADO</v>
      </c>
    </row>
    <row r="280" spans="2:7" hidden="1" x14ac:dyDescent="0.25">
      <c r="B280" t="s">
        <v>258</v>
      </c>
      <c r="D280" t="s">
        <v>27</v>
      </c>
      <c r="E280" t="s">
        <v>135</v>
      </c>
      <c r="F280" s="1">
        <v>46178</v>
      </c>
      <c r="G280" t="str">
        <f t="shared" si="8"/>
        <v>NÃO LOCALIZADO</v>
      </c>
    </row>
    <row r="281" spans="2:7" hidden="1" x14ac:dyDescent="0.25">
      <c r="B281" t="s">
        <v>259</v>
      </c>
      <c r="D281" t="s">
        <v>40</v>
      </c>
      <c r="E281" t="s">
        <v>135</v>
      </c>
      <c r="F281" s="1">
        <v>46178</v>
      </c>
      <c r="G281" t="str">
        <f t="shared" si="8"/>
        <v>NÃO LOCALIZADO</v>
      </c>
    </row>
    <row r="282" spans="2:7" hidden="1" x14ac:dyDescent="0.25">
      <c r="B282" t="s">
        <v>260</v>
      </c>
      <c r="D282" t="s">
        <v>88</v>
      </c>
      <c r="E282" t="s">
        <v>135</v>
      </c>
      <c r="F282" s="1">
        <v>46178</v>
      </c>
      <c r="G282" t="str">
        <f t="shared" si="8"/>
        <v>NÃO LOCALIZADO</v>
      </c>
    </row>
    <row r="283" spans="2:7" hidden="1" x14ac:dyDescent="0.25">
      <c r="B283" t="s">
        <v>261</v>
      </c>
      <c r="D283" t="s">
        <v>69</v>
      </c>
      <c r="E283" t="s">
        <v>135</v>
      </c>
      <c r="F283" s="1">
        <v>46178</v>
      </c>
      <c r="G283" t="str">
        <f t="shared" si="8"/>
        <v>NÃO LOCALIZADO</v>
      </c>
    </row>
    <row r="284" spans="2:7" hidden="1" x14ac:dyDescent="0.25">
      <c r="B284" t="s">
        <v>262</v>
      </c>
      <c r="D284" t="s">
        <v>56</v>
      </c>
      <c r="E284" t="s">
        <v>135</v>
      </c>
      <c r="F284" s="1">
        <v>46178</v>
      </c>
      <c r="G284" t="str">
        <f t="shared" si="8"/>
        <v>NÃO LOCALIZADO</v>
      </c>
    </row>
    <row r="285" spans="2:7" hidden="1" x14ac:dyDescent="0.25">
      <c r="B285" t="s">
        <v>263</v>
      </c>
      <c r="D285" t="s">
        <v>46</v>
      </c>
      <c r="E285" t="s">
        <v>135</v>
      </c>
      <c r="F285" s="1">
        <v>46178</v>
      </c>
      <c r="G285" t="str">
        <f t="shared" si="8"/>
        <v>NÃO LOCALIZADO</v>
      </c>
    </row>
    <row r="286" spans="2:7" hidden="1" x14ac:dyDescent="0.25">
      <c r="B286" t="s">
        <v>264</v>
      </c>
      <c r="D286" t="s">
        <v>96</v>
      </c>
      <c r="E286" t="s">
        <v>135</v>
      </c>
      <c r="F286" s="1">
        <v>46178</v>
      </c>
      <c r="G286" t="str">
        <f t="shared" si="8"/>
        <v>NÃO LOCALIZADO</v>
      </c>
    </row>
    <row r="287" spans="2:7" hidden="1" x14ac:dyDescent="0.25">
      <c r="B287" t="s">
        <v>265</v>
      </c>
      <c r="D287" t="s">
        <v>115</v>
      </c>
      <c r="E287" t="s">
        <v>135</v>
      </c>
      <c r="F287" s="1">
        <v>46178</v>
      </c>
      <c r="G287" t="str">
        <f t="shared" si="8"/>
        <v>NÃO LOCALIZADO</v>
      </c>
    </row>
    <row r="288" spans="2:7" hidden="1" x14ac:dyDescent="0.25">
      <c r="B288" t="s">
        <v>266</v>
      </c>
      <c r="D288" t="s">
        <v>46</v>
      </c>
      <c r="E288" t="s">
        <v>135</v>
      </c>
      <c r="F288" s="1">
        <v>46178</v>
      </c>
      <c r="G288" t="str">
        <f t="shared" si="8"/>
        <v>NÃO LOCALIZADO</v>
      </c>
    </row>
    <row r="289" spans="2:7" hidden="1" x14ac:dyDescent="0.25">
      <c r="B289" t="s">
        <v>267</v>
      </c>
      <c r="D289" t="s">
        <v>17</v>
      </c>
      <c r="E289" t="s">
        <v>135</v>
      </c>
      <c r="F289" s="1">
        <v>46178</v>
      </c>
      <c r="G289" t="str">
        <f t="shared" si="8"/>
        <v>NÃO LOCALIZADO</v>
      </c>
    </row>
    <row r="290" spans="2:7" hidden="1" x14ac:dyDescent="0.25">
      <c r="B290" t="s">
        <v>268</v>
      </c>
      <c r="D290" t="s">
        <v>127</v>
      </c>
      <c r="E290" t="s">
        <v>135</v>
      </c>
      <c r="F290" s="1">
        <v>46178</v>
      </c>
      <c r="G290" t="str">
        <f t="shared" si="8"/>
        <v>NÃO LOCALIZADO</v>
      </c>
    </row>
  </sheetData>
  <phoneticPr fontId="2" type="noConversion"/>
  <conditionalFormatting sqref="F1:F1048576">
    <cfRule type="containsText" dxfId="24" priority="6" operator="containsText" text="DUPLICADO NO ARQUIVO SPLUNK">
      <formula>NOT(ISERROR(SEARCH("DUPLICADO NO ARQUIVO SPLUNK",F1)))</formula>
    </cfRule>
    <cfRule type="containsText" dxfId="23" priority="7" operator="containsText" text="OK">
      <formula>NOT(ISERROR(SEARCH("OK",F1)))</formula>
    </cfRule>
    <cfRule type="containsText" dxfId="22" priority="8" operator="containsText" text="NÃO LOCALIZADO">
      <formula>NOT(ISERROR(SEARCH("NÃO LOCALIZADO",F1)))</formula>
    </cfRule>
  </conditionalFormatting>
  <conditionalFormatting sqref="E1:E1048576">
    <cfRule type="containsText" dxfId="21" priority="4" operator="containsText" text="NÃO LOCALIZADO">
      <formula>NOT(ISERROR(SEARCH("NÃO LOCALIZADO",E1)))</formula>
    </cfRule>
    <cfRule type="containsText" dxfId="20" priority="5" operator="containsText" text="OK">
      <formula>NOT(ISERROR(SEARCH("OK",E1)))</formula>
    </cfRule>
  </conditionalFormatting>
  <conditionalFormatting sqref="A1:A1048576">
    <cfRule type="expression" dxfId="19" priority="3">
      <formula>COUNTIF($A:$A,A3)&gt;1</formula>
    </cfRule>
  </conditionalFormatting>
  <conditionalFormatting sqref="G1:G1048576">
    <cfRule type="containsText" dxfId="18" priority="1" operator="containsText" text="NÃO LOCALIZADO">
      <formula>NOT(ISERROR(SEARCH("NÃO LOCALIZADO",G1)))</formula>
    </cfRule>
    <cfRule type="containsText" dxfId="17" priority="2" operator="containsText" text="OK">
      <formula>NOT(ISERROR(SEARCH("OK",G1)))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ArquivosEmail">
                <anchor moveWithCells="1" sizeWithCells="1">
                  <from>
                    <xdr:col>1</xdr:col>
                    <xdr:colOff>428625</xdr:colOff>
                    <xdr:row>0</xdr:row>
                    <xdr:rowOff>123825</xdr:rowOff>
                  </from>
                  <to>
                    <xdr:col>1</xdr:col>
                    <xdr:colOff>2295525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tualizarColunaA">
                <anchor moveWithCells="1" sizeWithCells="1">
                  <from>
                    <xdr:col>0</xdr:col>
                    <xdr:colOff>647700</xdr:colOff>
                    <xdr:row>0</xdr:row>
                    <xdr:rowOff>152400</xdr:rowOff>
                  </from>
                  <to>
                    <xdr:col>0</xdr:col>
                    <xdr:colOff>2524125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1ac1603-157a-46a3-ba86-7e13c3bfb5bc">
      <Terms xmlns="http://schemas.microsoft.com/office/infopath/2007/PartnerControls"/>
    </lcf76f155ced4ddcb4097134ff3c332f>
    <TaxCatchAll xmlns="382ecab3-cefa-441d-9e16-92d8f83091dd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19429AC0F8644EA283AFF4D148FB95" ma:contentTypeVersion="12" ma:contentTypeDescription="Create a new document." ma:contentTypeScope="" ma:versionID="efd055f62efc2e35d32cd6d2cdda4eba">
  <xsd:schema xmlns:xsd="http://www.w3.org/2001/XMLSchema" xmlns:xs="http://www.w3.org/2001/XMLSchema" xmlns:p="http://schemas.microsoft.com/office/2006/metadata/properties" xmlns:ns2="01ac1603-157a-46a3-ba86-7e13c3bfb5bc" xmlns:ns3="382ecab3-cefa-441d-9e16-92d8f83091dd" targetNamespace="http://schemas.microsoft.com/office/2006/metadata/properties" ma:root="true" ma:fieldsID="449ee22c81a22e02a0a6d33b922eb4f2" ns2:_="" ns3:_="">
    <xsd:import namespace="01ac1603-157a-46a3-ba86-7e13c3bfb5bc"/>
    <xsd:import namespace="382ecab3-cefa-441d-9e16-92d8f83091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ac1603-157a-46a3-ba86-7e13c3bfb5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05737461-a487-46dc-b5b2-968f5346ee8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2ecab3-cefa-441d-9e16-92d8f83091d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9acc9371-7ce9-49bf-bebc-5f52cc0d4b4c}" ma:internalName="TaxCatchAll" ma:showField="CatchAllData" ma:web="382ecab3-cefa-441d-9e16-92d8f83091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E53B2A8-C243-41A8-B43E-29FB67A9002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C67A359-213D-4D3F-B74B-3F77174E65C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BD54BB6-1DF9-4E70-8FE8-5CEDF2E93E33}">
  <ds:schemaRefs>
    <ds:schemaRef ds:uri="http://schemas.microsoft.com/office/2006/metadata/properties"/>
    <ds:schemaRef ds:uri="http://schemas.microsoft.com/office/infopath/2007/PartnerControls"/>
    <ds:schemaRef ds:uri="01ac1603-157a-46a3-ba86-7e13c3bfb5bc"/>
    <ds:schemaRef ds:uri="382ecab3-cefa-441d-9e16-92d8f83091dd"/>
  </ds:schemaRefs>
</ds:datastoreItem>
</file>

<file path=customXml/itemProps4.xml><?xml version="1.0" encoding="utf-8"?>
<ds:datastoreItem xmlns:ds="http://schemas.openxmlformats.org/officeDocument/2006/customXml" ds:itemID="{473BED3A-834C-4831-92EF-D97E539D9D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ac1603-157a-46a3-ba86-7e13c3bfb5bc"/>
    <ds:schemaRef ds:uri="382ecab3-cefa-441d-9e16-92d8f83091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Mascara</vt:lpstr>
      <vt:lpstr>Base Fundo1</vt:lpstr>
      <vt:lpstr>Base Fundo2</vt:lpstr>
      <vt:lpstr>Teste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Karina Santos Gonçalves</dc:creator>
  <cp:lastModifiedBy>Karina Santos Gonçalves</cp:lastModifiedBy>
  <dcterms:created xsi:type="dcterms:W3CDTF">2026-05-07T12:16:25Z</dcterms:created>
  <dcterms:modified xsi:type="dcterms:W3CDTF">2026-06-09T19:34:06Z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0x0101005D19429AC0F8644EA283AFF4D148FB95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